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2.xml" ContentType="application/vnd.openxmlformats-officedocument.drawing+xml"/>
  <Override PartName="/xl/activeX/activeX25.xml" ContentType="application/vnd.ms-office.activeX+xml"/>
  <Override PartName="/xl/activeX/activeX25.bin" ContentType="application/vnd.ms-office.activeX"/>
  <Override PartName="/xl/drawings/drawing3.xml" ContentType="application/vnd.openxmlformats-officedocument.drawing+xml"/>
  <Override PartName="/xl/activeX/activeX26.xml" ContentType="application/vnd.ms-office.activeX+xml"/>
  <Override PartName="/xl/activeX/activeX26.bin" ContentType="application/vnd.ms-office.activeX"/>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T:\Mercury\Pinout\"/>
    </mc:Choice>
  </mc:AlternateContent>
  <xr:revisionPtr revIDLastSave="0" documentId="13_ncr:1_{3556CDB0-5BF0-4EF1-8F92-6FFDCE94F1EF}" xr6:coauthVersionLast="36" xr6:coauthVersionMax="36" xr10:uidLastSave="{00000000-0000-0000-0000-000000000000}"/>
  <bookViews>
    <workbookView showHorizontalScroll="0" showVerticalScroll="0" xWindow="525" yWindow="-15" windowWidth="23460" windowHeight="7740" tabRatio="465" xr2:uid="{00000000-000D-0000-FFFF-FFFF00000000}"/>
  </bookViews>
  <sheets>
    <sheet name="View Settings" sheetId="3" r:id="rId1"/>
    <sheet name="Connector A" sheetId="2" r:id="rId2"/>
    <sheet name="Connector B" sheetId="4" r:id="rId3"/>
    <sheet name="Connector C" sheetId="5" r:id="rId4"/>
    <sheet name="Notes_Disclaimers" sheetId="6" r:id="rId5"/>
  </sheet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4" i="5" l="1"/>
  <c r="AG1" i="2" l="1"/>
  <c r="AG2" i="2"/>
  <c r="AG3" i="2"/>
  <c r="AG4" i="2"/>
  <c r="AG5" i="2"/>
  <c r="AG6" i="2"/>
  <c r="AG7" i="2"/>
  <c r="AG8" i="2"/>
  <c r="L1" i="5"/>
  <c r="AG1" i="5" s="1"/>
  <c r="L2" i="5"/>
  <c r="AG2" i="5" s="1"/>
  <c r="L3" i="5"/>
  <c r="AG3" i="5" s="1"/>
  <c r="L4" i="5"/>
  <c r="AG4" i="5" s="1"/>
  <c r="L5" i="5"/>
  <c r="AG5" i="5" s="1"/>
  <c r="L6" i="5"/>
  <c r="AG6" i="5" s="1"/>
  <c r="L7" i="5"/>
  <c r="AG7" i="5" s="1"/>
  <c r="L8" i="5"/>
  <c r="AG8" i="5" s="1"/>
  <c r="AD7" i="2"/>
  <c r="AD8" i="2" l="1"/>
  <c r="O8" i="4" l="1"/>
  <c r="S9" i="5"/>
  <c r="V9" i="5" s="1"/>
  <c r="S9" i="4"/>
  <c r="V9" i="4" s="1"/>
  <c r="V9" i="2"/>
  <c r="E6" i="5" l="1"/>
  <c r="H8" i="4" l="1"/>
  <c r="M8" i="4"/>
  <c r="Z8" i="2"/>
  <c r="Z7" i="2"/>
  <c r="Z6" i="2"/>
  <c r="Z5" i="2"/>
  <c r="Z4" i="2"/>
  <c r="Z3" i="2"/>
  <c r="Z2" i="2"/>
  <c r="Z1" i="2"/>
  <c r="E8" i="5"/>
  <c r="Z8" i="5" s="1"/>
  <c r="E7" i="5"/>
  <c r="Z7" i="5" s="1"/>
  <c r="Z6" i="5"/>
  <c r="E5" i="5"/>
  <c r="Z5" i="5" s="1"/>
  <c r="E4" i="5"/>
  <c r="Z4" i="5" s="1"/>
  <c r="E3" i="5"/>
  <c r="Z3" i="5" s="1"/>
  <c r="E2" i="5"/>
  <c r="Z2" i="5" s="1"/>
  <c r="E1" i="5"/>
  <c r="Z1" i="5" s="1"/>
  <c r="E8" i="4"/>
  <c r="Z8" i="4" s="1"/>
  <c r="E7" i="4"/>
  <c r="Z7" i="4" s="1"/>
  <c r="E6" i="4"/>
  <c r="Z6" i="4" s="1"/>
  <c r="E5" i="4"/>
  <c r="Z5" i="4" s="1"/>
  <c r="E4" i="4"/>
  <c r="Z4" i="4" s="1"/>
  <c r="E3" i="4"/>
  <c r="Z3" i="4" s="1"/>
  <c r="E2" i="4"/>
  <c r="Z2" i="4" s="1"/>
  <c r="E1" i="4"/>
  <c r="Z1" i="4" s="1"/>
  <c r="O8" i="5"/>
  <c r="AJ8" i="5" s="1"/>
  <c r="O7" i="5"/>
  <c r="AJ7" i="5" s="1"/>
  <c r="O6" i="5"/>
  <c r="AJ6" i="5" s="1"/>
  <c r="O5" i="5"/>
  <c r="AJ5" i="5" s="1"/>
  <c r="O4" i="5"/>
  <c r="AJ4" i="5" s="1"/>
  <c r="O3" i="5"/>
  <c r="AJ3" i="5" s="1"/>
  <c r="O2" i="5"/>
  <c r="AJ2" i="5" s="1"/>
  <c r="O1" i="5"/>
  <c r="AJ1" i="5" s="1"/>
  <c r="AK1" i="2"/>
  <c r="AK2" i="2"/>
  <c r="AK3" i="2"/>
  <c r="AK4" i="2"/>
  <c r="AK5" i="2"/>
  <c r="AK6" i="2"/>
  <c r="AK7" i="2"/>
  <c r="AK8" i="2"/>
  <c r="P1" i="4"/>
  <c r="P2" i="4"/>
  <c r="P3" i="4"/>
  <c r="P4" i="4"/>
  <c r="P5" i="4"/>
  <c r="P6" i="4"/>
  <c r="P7" i="4"/>
  <c r="P8" i="4"/>
  <c r="O6" i="4"/>
  <c r="A3" i="6" l="1"/>
  <c r="Q8" i="5" l="1"/>
  <c r="Q7" i="5"/>
  <c r="Q6" i="5"/>
  <c r="Q5" i="5"/>
  <c r="Q4" i="5"/>
  <c r="Q3" i="5"/>
  <c r="Q2" i="5"/>
  <c r="Q1" i="5"/>
  <c r="Q8" i="4"/>
  <c r="Q7" i="4"/>
  <c r="Q6" i="4"/>
  <c r="Q5" i="4"/>
  <c r="Q4" i="4"/>
  <c r="Q3" i="4"/>
  <c r="Q2" i="4"/>
  <c r="Q1" i="4"/>
  <c r="S1" i="4"/>
  <c r="S1" i="5"/>
  <c r="S8" i="5"/>
  <c r="S7" i="5"/>
  <c r="V7" i="5" s="1"/>
  <c r="S6" i="5"/>
  <c r="S5" i="5"/>
  <c r="S4" i="5"/>
  <c r="V4" i="5" s="1"/>
  <c r="S3" i="5"/>
  <c r="S2" i="5"/>
  <c r="S8" i="4"/>
  <c r="S7" i="4"/>
  <c r="V7" i="4" s="1"/>
  <c r="S6" i="4"/>
  <c r="S5" i="4"/>
  <c r="S4" i="4"/>
  <c r="V4" i="4" s="1"/>
  <c r="S3" i="4"/>
  <c r="S2" i="4"/>
  <c r="R1" i="4"/>
  <c r="AK1" i="4"/>
  <c r="O1" i="4"/>
  <c r="N1" i="4"/>
  <c r="J1" i="4"/>
  <c r="AE1" i="4" s="1"/>
  <c r="I1" i="4"/>
  <c r="AD1" i="4" s="1"/>
  <c r="H1" i="4"/>
  <c r="AC1" i="4" s="1"/>
  <c r="M1" i="4"/>
  <c r="L1" i="4"/>
  <c r="K1" i="4"/>
  <c r="AF1" i="4" s="1"/>
  <c r="B1" i="4"/>
  <c r="W1" i="4" s="1"/>
  <c r="G1" i="4"/>
  <c r="F1" i="4"/>
  <c r="D1" i="4"/>
  <c r="C1" i="4"/>
  <c r="R1" i="5"/>
  <c r="P1" i="5"/>
  <c r="AK1" i="5" s="1"/>
  <c r="N1" i="5"/>
  <c r="J1" i="5"/>
  <c r="AE1" i="5" s="1"/>
  <c r="I1" i="5"/>
  <c r="AD1" i="5" s="1"/>
  <c r="H1" i="5"/>
  <c r="AC1" i="5" s="1"/>
  <c r="M1" i="5"/>
  <c r="K1" i="5"/>
  <c r="B1" i="5"/>
  <c r="W1" i="5" s="1"/>
  <c r="G1" i="5"/>
  <c r="F1" i="5"/>
  <c r="D1" i="5"/>
  <c r="C1" i="5"/>
  <c r="R8" i="5"/>
  <c r="P8" i="5"/>
  <c r="AK8" i="5" s="1"/>
  <c r="N8" i="5"/>
  <c r="J8" i="5"/>
  <c r="AE8" i="5" s="1"/>
  <c r="I8" i="5"/>
  <c r="AD8" i="5" s="1"/>
  <c r="H8" i="5"/>
  <c r="AC8" i="5" s="1"/>
  <c r="M8" i="5"/>
  <c r="K8" i="5"/>
  <c r="B8" i="5"/>
  <c r="W8" i="5" s="1"/>
  <c r="G8" i="5"/>
  <c r="F8" i="5"/>
  <c r="D8" i="5"/>
  <c r="C8" i="5"/>
  <c r="R7" i="5"/>
  <c r="AM7" i="5" s="1"/>
  <c r="P7" i="5"/>
  <c r="AK7" i="5" s="1"/>
  <c r="N7" i="5"/>
  <c r="AI7" i="5" s="1"/>
  <c r="J7" i="5"/>
  <c r="AE7" i="5" s="1"/>
  <c r="I7" i="5"/>
  <c r="AD7" i="5" s="1"/>
  <c r="H7" i="5"/>
  <c r="AC7" i="5" s="1"/>
  <c r="M7" i="5"/>
  <c r="AH7" i="5" s="1"/>
  <c r="K7" i="5"/>
  <c r="AF7" i="5" s="1"/>
  <c r="B7" i="5"/>
  <c r="W7" i="5" s="1"/>
  <c r="G7" i="5"/>
  <c r="AB7" i="5" s="1"/>
  <c r="F7" i="5"/>
  <c r="AA7" i="5" s="1"/>
  <c r="D7" i="5"/>
  <c r="Y7" i="5" s="1"/>
  <c r="C7" i="5"/>
  <c r="X7" i="5" s="1"/>
  <c r="R6" i="5"/>
  <c r="P6" i="5"/>
  <c r="AK6" i="5" s="1"/>
  <c r="N6" i="5"/>
  <c r="J6" i="5"/>
  <c r="AE6" i="5" s="1"/>
  <c r="I6" i="5"/>
  <c r="AD6" i="5" s="1"/>
  <c r="H6" i="5"/>
  <c r="AC6" i="5" s="1"/>
  <c r="M6" i="5"/>
  <c r="K6" i="5"/>
  <c r="B6" i="5"/>
  <c r="W6" i="5" s="1"/>
  <c r="G6" i="5"/>
  <c r="F6" i="5"/>
  <c r="D6" i="5"/>
  <c r="C6" i="5"/>
  <c r="R5" i="5"/>
  <c r="P5" i="5"/>
  <c r="AK5" i="5" s="1"/>
  <c r="N5" i="5"/>
  <c r="J5" i="5"/>
  <c r="AE5" i="5" s="1"/>
  <c r="I5" i="5"/>
  <c r="AD5" i="5" s="1"/>
  <c r="H5" i="5"/>
  <c r="AC5" i="5" s="1"/>
  <c r="M5" i="5"/>
  <c r="K5" i="5"/>
  <c r="B5" i="5"/>
  <c r="W5" i="5" s="1"/>
  <c r="G5" i="5"/>
  <c r="F5" i="5"/>
  <c r="D5" i="5"/>
  <c r="C5" i="5"/>
  <c r="R4" i="5"/>
  <c r="AM4" i="5" s="1"/>
  <c r="P4" i="5"/>
  <c r="AK4" i="5" s="1"/>
  <c r="N4" i="5"/>
  <c r="AI4" i="5" s="1"/>
  <c r="AE4" i="5"/>
  <c r="I4" i="5"/>
  <c r="AD4" i="5" s="1"/>
  <c r="H4" i="5"/>
  <c r="AC4" i="5" s="1"/>
  <c r="M4" i="5"/>
  <c r="AH4" i="5" s="1"/>
  <c r="K4" i="5"/>
  <c r="AF4" i="5" s="1"/>
  <c r="B4" i="5"/>
  <c r="W4" i="5" s="1"/>
  <c r="G4" i="5"/>
  <c r="AB4" i="5" s="1"/>
  <c r="F4" i="5"/>
  <c r="AA4" i="5" s="1"/>
  <c r="D4" i="5"/>
  <c r="Y4" i="5" s="1"/>
  <c r="C4" i="5"/>
  <c r="X4" i="5" s="1"/>
  <c r="R3" i="5"/>
  <c r="P3" i="5"/>
  <c r="AK3" i="5" s="1"/>
  <c r="N3" i="5"/>
  <c r="J3" i="5"/>
  <c r="AE3" i="5" s="1"/>
  <c r="I3" i="5"/>
  <c r="AD3" i="5" s="1"/>
  <c r="H3" i="5"/>
  <c r="AC3" i="5" s="1"/>
  <c r="M3" i="5"/>
  <c r="K3" i="5"/>
  <c r="B3" i="5"/>
  <c r="W3" i="5" s="1"/>
  <c r="G3" i="5"/>
  <c r="F3" i="5"/>
  <c r="D3" i="5"/>
  <c r="C3" i="5"/>
  <c r="R2" i="5"/>
  <c r="P2" i="5"/>
  <c r="AK2" i="5" s="1"/>
  <c r="N2" i="5"/>
  <c r="J2" i="5"/>
  <c r="AE2" i="5" s="1"/>
  <c r="I2" i="5"/>
  <c r="AD2" i="5" s="1"/>
  <c r="H2" i="5"/>
  <c r="AC2" i="5" s="1"/>
  <c r="M2" i="5"/>
  <c r="K2" i="5"/>
  <c r="B2" i="5"/>
  <c r="W2" i="5" s="1"/>
  <c r="G2" i="5"/>
  <c r="F2" i="5"/>
  <c r="D2" i="5"/>
  <c r="C2" i="5"/>
  <c r="C2" i="4" s="1"/>
  <c r="A3" i="4"/>
  <c r="A3" i="5"/>
  <c r="R8" i="4"/>
  <c r="AK8" i="4"/>
  <c r="N8" i="4"/>
  <c r="J8" i="4"/>
  <c r="AE8" i="4" s="1"/>
  <c r="I8" i="4"/>
  <c r="AD8" i="4" s="1"/>
  <c r="AC8" i="4"/>
  <c r="L8" i="4"/>
  <c r="K8" i="4"/>
  <c r="B8" i="4"/>
  <c r="W8" i="4" s="1"/>
  <c r="G8" i="4"/>
  <c r="F8" i="4"/>
  <c r="D8" i="4"/>
  <c r="C8" i="4"/>
  <c r="R7" i="4"/>
  <c r="AM7" i="4" s="1"/>
  <c r="AK7" i="4"/>
  <c r="O7" i="4"/>
  <c r="AJ7" i="4" s="1"/>
  <c r="N7" i="4"/>
  <c r="AI7" i="4" s="1"/>
  <c r="J7" i="4"/>
  <c r="I7" i="4"/>
  <c r="AD7" i="4" s="1"/>
  <c r="H7" i="4"/>
  <c r="AC7" i="4" s="1"/>
  <c r="M7" i="4"/>
  <c r="AH7" i="4" s="1"/>
  <c r="L7" i="4"/>
  <c r="AG7" i="4" s="1"/>
  <c r="K7" i="4"/>
  <c r="AF7" i="4" s="1"/>
  <c r="B7" i="4"/>
  <c r="W7" i="4" s="1"/>
  <c r="G7" i="4"/>
  <c r="AB7" i="4" s="1"/>
  <c r="F7" i="4"/>
  <c r="AA7" i="4" s="1"/>
  <c r="D7" i="4"/>
  <c r="Y7" i="4" s="1"/>
  <c r="C7" i="4"/>
  <c r="X7" i="4" s="1"/>
  <c r="R6" i="4"/>
  <c r="AK6" i="4"/>
  <c r="N6" i="4"/>
  <c r="J6" i="4"/>
  <c r="AE6" i="4" s="1"/>
  <c r="I6" i="4"/>
  <c r="AD6" i="4" s="1"/>
  <c r="H6" i="4"/>
  <c r="AC6" i="4" s="1"/>
  <c r="M6" i="4"/>
  <c r="L6" i="4"/>
  <c r="K6" i="4"/>
  <c r="B6" i="4"/>
  <c r="W6" i="4" s="1"/>
  <c r="G6" i="4"/>
  <c r="F6" i="4"/>
  <c r="D6" i="4"/>
  <c r="C6" i="4"/>
  <c r="R5" i="4"/>
  <c r="AK5" i="4"/>
  <c r="O5" i="4"/>
  <c r="N5" i="4"/>
  <c r="J5" i="4"/>
  <c r="AE5" i="4" s="1"/>
  <c r="I5" i="4"/>
  <c r="AD5" i="4" s="1"/>
  <c r="H5" i="4"/>
  <c r="AC5" i="4" s="1"/>
  <c r="M5" i="4"/>
  <c r="L5" i="4"/>
  <c r="K5" i="4"/>
  <c r="B5" i="4"/>
  <c r="W5" i="4" s="1"/>
  <c r="G5" i="4"/>
  <c r="F5" i="4"/>
  <c r="D5" i="4"/>
  <c r="C5" i="4"/>
  <c r="R4" i="4"/>
  <c r="AM4" i="4" s="1"/>
  <c r="AK4" i="4"/>
  <c r="O4" i="4"/>
  <c r="AJ4" i="4" s="1"/>
  <c r="N4" i="4"/>
  <c r="AI4" i="4" s="1"/>
  <c r="J4" i="4"/>
  <c r="AE4" i="4" s="1"/>
  <c r="I4" i="4"/>
  <c r="AD4" i="4" s="1"/>
  <c r="H4" i="4"/>
  <c r="AC4" i="4" s="1"/>
  <c r="M4" i="4"/>
  <c r="AH4" i="4" s="1"/>
  <c r="L4" i="4"/>
  <c r="AG4" i="4" s="1"/>
  <c r="K4" i="4"/>
  <c r="AF4" i="4" s="1"/>
  <c r="B4" i="4"/>
  <c r="W4" i="4" s="1"/>
  <c r="G4" i="4"/>
  <c r="AB4" i="4" s="1"/>
  <c r="F4" i="4"/>
  <c r="AA4" i="4" s="1"/>
  <c r="D4" i="4"/>
  <c r="Y4" i="4" s="1"/>
  <c r="C4" i="4"/>
  <c r="X4" i="4" s="1"/>
  <c r="R3" i="4"/>
  <c r="AK3" i="4"/>
  <c r="O3" i="4"/>
  <c r="N3" i="4"/>
  <c r="J3" i="4"/>
  <c r="AE3" i="4" s="1"/>
  <c r="I3" i="4"/>
  <c r="AD3" i="4" s="1"/>
  <c r="H3" i="4"/>
  <c r="AC3" i="4" s="1"/>
  <c r="M3" i="4"/>
  <c r="L3" i="4"/>
  <c r="K3" i="4"/>
  <c r="B3" i="4"/>
  <c r="W3" i="4" s="1"/>
  <c r="G3" i="4"/>
  <c r="F3" i="4"/>
  <c r="D3" i="4"/>
  <c r="C3" i="4"/>
  <c r="R2" i="4"/>
  <c r="AK2" i="4"/>
  <c r="O2" i="4"/>
  <c r="N2" i="4"/>
  <c r="J2" i="4"/>
  <c r="AE2" i="4" s="1"/>
  <c r="I2" i="4"/>
  <c r="AD2" i="4" s="1"/>
  <c r="H2" i="4"/>
  <c r="AC2" i="4" s="1"/>
  <c r="M2" i="4"/>
  <c r="L2" i="4"/>
  <c r="K2" i="4"/>
  <c r="B2" i="4"/>
  <c r="W2" i="4" s="1"/>
  <c r="G2" i="4"/>
  <c r="F2" i="4"/>
  <c r="D2" i="4"/>
  <c r="W8" i="2"/>
  <c r="W7" i="2"/>
  <c r="W6" i="2"/>
  <c r="W5" i="2"/>
  <c r="W4" i="2"/>
  <c r="W3" i="2"/>
  <c r="W2" i="2"/>
  <c r="W1" i="2"/>
  <c r="AE8" i="2"/>
  <c r="AE7" i="2"/>
  <c r="AE6" i="2"/>
  <c r="AE5" i="2"/>
  <c r="AE4" i="2"/>
  <c r="AE3" i="2"/>
  <c r="AE2" i="2"/>
  <c r="AE1" i="2"/>
  <c r="AD6" i="2"/>
  <c r="AD5" i="2"/>
  <c r="AD4" i="2"/>
  <c r="AD3" i="2"/>
  <c r="AD2" i="2"/>
  <c r="AD1" i="2"/>
  <c r="AM4" i="2"/>
  <c r="AJ4" i="2"/>
  <c r="AI4" i="2"/>
  <c r="AC4" i="2"/>
  <c r="AH4" i="2"/>
  <c r="AF4" i="2"/>
  <c r="AB4" i="2"/>
  <c r="AA4" i="2"/>
  <c r="Y4" i="2"/>
  <c r="X4" i="2"/>
  <c r="V4" i="2"/>
  <c r="AC8" i="2"/>
  <c r="AC7" i="2"/>
  <c r="AC6" i="2"/>
  <c r="AC5" i="2"/>
  <c r="AC3" i="2"/>
  <c r="AC2" i="2"/>
  <c r="AC1" i="2"/>
  <c r="AM7" i="2"/>
  <c r="AJ7" i="2"/>
  <c r="AI7" i="2"/>
  <c r="AH7" i="2"/>
  <c r="AF7" i="2"/>
  <c r="AB7" i="2"/>
  <c r="AA7" i="2"/>
  <c r="Y7" i="2"/>
  <c r="X7" i="2"/>
  <c r="V7" i="2"/>
  <c r="AF8" i="2"/>
  <c r="AF6" i="2"/>
  <c r="AF5" i="2"/>
  <c r="AF3" i="2"/>
  <c r="AF2" i="2"/>
  <c r="AF1" i="2"/>
  <c r="AM8" i="5" l="1"/>
  <c r="AI8" i="5"/>
  <c r="AH8" i="5"/>
  <c r="AF8" i="5"/>
  <c r="AB8" i="5"/>
  <c r="AA8" i="5"/>
  <c r="Y8" i="5"/>
  <c r="X8" i="5"/>
  <c r="V8" i="5"/>
  <c r="AM6" i="5"/>
  <c r="AI6" i="5"/>
  <c r="AH6" i="5"/>
  <c r="AF6" i="5"/>
  <c r="AB6" i="5"/>
  <c r="AA6" i="5"/>
  <c r="Y6" i="5"/>
  <c r="X6" i="5"/>
  <c r="V6" i="5"/>
  <c r="AM5" i="5"/>
  <c r="AI5" i="5"/>
  <c r="AH5" i="5"/>
  <c r="AF5" i="5"/>
  <c r="AB5" i="5"/>
  <c r="AA5" i="5"/>
  <c r="Y5" i="5"/>
  <c r="X5" i="5"/>
  <c r="V5" i="5"/>
  <c r="AM3" i="5"/>
  <c r="AI3" i="5"/>
  <c r="AH3" i="5"/>
  <c r="AF3" i="5"/>
  <c r="AB3" i="5"/>
  <c r="AA3" i="5"/>
  <c r="Y3" i="5"/>
  <c r="X3" i="5"/>
  <c r="V3" i="5"/>
  <c r="AM2" i="5"/>
  <c r="AI2" i="5"/>
  <c r="AH2" i="5"/>
  <c r="AF2" i="5"/>
  <c r="AB2" i="5"/>
  <c r="AA2" i="5"/>
  <c r="Y2" i="5"/>
  <c r="X2" i="5"/>
  <c r="V2" i="5"/>
  <c r="AM1" i="5"/>
  <c r="AI1" i="5"/>
  <c r="AH1" i="5"/>
  <c r="AF1" i="5"/>
  <c r="AB1" i="5"/>
  <c r="AA1" i="5"/>
  <c r="Y1" i="5"/>
  <c r="X1" i="5"/>
  <c r="V1" i="5"/>
  <c r="AB8" i="2"/>
  <c r="AB6" i="2"/>
  <c r="AB5" i="2"/>
  <c r="AB3" i="2"/>
  <c r="AB2" i="2"/>
  <c r="AB1" i="2"/>
  <c r="AB8" i="4"/>
  <c r="AB6" i="4"/>
  <c r="AB5" i="4"/>
  <c r="AB3" i="4"/>
  <c r="AB2" i="4"/>
  <c r="AB1" i="4"/>
  <c r="AM8" i="4"/>
  <c r="AM6" i="4"/>
  <c r="AM5" i="4"/>
  <c r="AM3" i="4"/>
  <c r="AM2" i="4"/>
  <c r="AM1" i="4"/>
  <c r="AG8" i="4"/>
  <c r="AG6" i="4"/>
  <c r="AG5" i="4"/>
  <c r="AG3" i="4"/>
  <c r="AG2" i="4"/>
  <c r="AG1" i="4"/>
  <c r="AM8" i="2"/>
  <c r="AM6" i="2"/>
  <c r="AM5" i="2"/>
  <c r="AM3" i="2"/>
  <c r="AM2" i="2"/>
  <c r="AM1" i="2"/>
  <c r="AA8" i="2"/>
  <c r="AJ1" i="4" l="1"/>
  <c r="AJ1" i="2"/>
  <c r="X5" i="4" l="1"/>
  <c r="Y5" i="4"/>
  <c r="AA5" i="4"/>
  <c r="AF5" i="4"/>
  <c r="AH5" i="4"/>
  <c r="AI5" i="4"/>
  <c r="AJ5" i="4"/>
  <c r="V5" i="4"/>
  <c r="X5" i="2"/>
  <c r="Y5" i="2"/>
  <c r="AA5" i="2"/>
  <c r="AH5" i="2"/>
  <c r="AI5" i="2"/>
  <c r="AJ5" i="2"/>
  <c r="V5" i="2"/>
  <c r="AH8" i="2"/>
  <c r="AH1" i="4"/>
  <c r="AH2" i="4"/>
  <c r="AH3" i="4"/>
  <c r="AH6" i="4"/>
  <c r="AH8" i="4"/>
  <c r="AH2" i="2"/>
  <c r="AH3" i="2"/>
  <c r="AH6" i="2"/>
  <c r="AH1" i="2"/>
  <c r="AA8" i="4" l="1"/>
  <c r="AJ8" i="4"/>
  <c r="AI8" i="4"/>
  <c r="AF8" i="4"/>
  <c r="Y8" i="4"/>
  <c r="X8" i="4"/>
  <c r="V8" i="4"/>
  <c r="AJ6" i="4"/>
  <c r="AI6" i="4"/>
  <c r="AF6" i="4"/>
  <c r="AA6" i="4"/>
  <c r="Y6" i="4"/>
  <c r="X6" i="4"/>
  <c r="V6" i="4"/>
  <c r="AJ3" i="4"/>
  <c r="AI3" i="4"/>
  <c r="AF3" i="4"/>
  <c r="AA3" i="4"/>
  <c r="Y3" i="4"/>
  <c r="X3" i="4"/>
  <c r="V3" i="4"/>
  <c r="AJ2" i="4"/>
  <c r="AI2" i="4"/>
  <c r="AF2" i="4"/>
  <c r="AA2" i="4"/>
  <c r="Y2" i="4"/>
  <c r="X2" i="4"/>
  <c r="V2" i="4"/>
  <c r="AI1" i="4"/>
  <c r="AA1" i="4"/>
  <c r="Y1" i="4"/>
  <c r="X1" i="4"/>
  <c r="V1" i="4"/>
  <c r="AJ6" i="2" l="1"/>
  <c r="AI6" i="2"/>
  <c r="AA6" i="2"/>
  <c r="Y6" i="2"/>
  <c r="X6" i="2"/>
  <c r="V6" i="2"/>
  <c r="AJ3" i="2"/>
  <c r="AI3" i="2"/>
  <c r="AA3" i="2"/>
  <c r="Y3" i="2"/>
  <c r="X3" i="2"/>
  <c r="V3" i="2"/>
  <c r="AJ2" i="2"/>
  <c r="AI2" i="2"/>
  <c r="AA2" i="2"/>
  <c r="Y2" i="2"/>
  <c r="X2" i="2"/>
  <c r="V2" i="2"/>
  <c r="AJ8" i="2"/>
  <c r="AI8" i="2"/>
  <c r="Y8" i="2"/>
  <c r="X8" i="2"/>
  <c r="V8" i="2"/>
  <c r="AI1" i="2"/>
  <c r="AA1" i="2"/>
  <c r="Y1" i="2"/>
  <c r="X1" i="2"/>
  <c r="V1" i="2"/>
</calcChain>
</file>

<file path=xl/sharedStrings.xml><?xml version="1.0" encoding="utf-8"?>
<sst xmlns="http://schemas.openxmlformats.org/spreadsheetml/2006/main" count="7593" uniqueCount="3201">
  <si>
    <t>Signal Name</t>
  </si>
  <si>
    <t>R1</t>
  </si>
  <si>
    <t>GND</t>
  </si>
  <si>
    <t>VCC_3V3</t>
  </si>
  <si>
    <t>VCC_1V8</t>
  </si>
  <si>
    <t>VMON_1V2</t>
  </si>
  <si>
    <t>VOUT</t>
  </si>
  <si>
    <t>VMON</t>
  </si>
  <si>
    <t>ETH_CTREF</t>
  </si>
  <si>
    <t>VIN_IO</t>
  </si>
  <si>
    <t>IO_P</t>
  </si>
  <si>
    <t>IO_N</t>
  </si>
  <si>
    <t>VIN_BAT</t>
  </si>
  <si>
    <t>Product Name</t>
  </si>
  <si>
    <t>JTAG_TCK</t>
  </si>
  <si>
    <t>JTAG_TDI</t>
  </si>
  <si>
    <t>JTAG_TMS</t>
  </si>
  <si>
    <t>JTAG_TDO</t>
  </si>
  <si>
    <t>USB_CPEN</t>
  </si>
  <si>
    <t>RSVD</t>
  </si>
  <si>
    <t>I2C_INT#</t>
  </si>
  <si>
    <t>I2C_SDA</t>
  </si>
  <si>
    <t>I2C_SCL</t>
  </si>
  <si>
    <t>FLASH_CLK</t>
  </si>
  <si>
    <t>FLASH_DO</t>
  </si>
  <si>
    <t>FLASH_DI</t>
  </si>
  <si>
    <t>FLASH_CS#</t>
  </si>
  <si>
    <t>BOOT_MODE</t>
  </si>
  <si>
    <t>FPGA_DONE</t>
  </si>
  <si>
    <t>POR#_LOAD#</t>
  </si>
  <si>
    <t>PCLK_P</t>
  </si>
  <si>
    <t>PCLK_N</t>
  </si>
  <si>
    <t>SCLK_P</t>
  </si>
  <si>
    <t>SCLK_N</t>
  </si>
  <si>
    <t>MGT_RX_P</t>
  </si>
  <si>
    <t>MGT_RX_N</t>
  </si>
  <si>
    <t>MGT_CLK_P</t>
  </si>
  <si>
    <t>MGT_CLK_N</t>
  </si>
  <si>
    <t>MGT_TX_P</t>
  </si>
  <si>
    <t>MGT_TX_N</t>
  </si>
  <si>
    <t>PWR_EN</t>
  </si>
  <si>
    <t>HDMI0_D0_P</t>
  </si>
  <si>
    <t>HDMI0_D0_N</t>
  </si>
  <si>
    <t>HDMI0_D2_P</t>
  </si>
  <si>
    <t>HDMI0_D2_N</t>
  </si>
  <si>
    <t>HDMI1_D1_P</t>
  </si>
  <si>
    <t>FMC_LA33_P</t>
  </si>
  <si>
    <t>HDMI1_D1_N</t>
  </si>
  <si>
    <t>FMC_LA33_N</t>
  </si>
  <si>
    <t>HDMI1_HEC_P</t>
  </si>
  <si>
    <t>FMC_LA32_P</t>
  </si>
  <si>
    <t>HDMI1_HEC_N</t>
  </si>
  <si>
    <t>FMC_LA32_N</t>
  </si>
  <si>
    <t>FMC_CLK1_M2C_P</t>
  </si>
  <si>
    <t>FMC_CLK1_M2C_N</t>
  </si>
  <si>
    <t>HDMI0_CLK_P</t>
  </si>
  <si>
    <t>HDMI0_CLK_N</t>
  </si>
  <si>
    <t>HDMI0_D1_P</t>
  </si>
  <si>
    <t>HDMI0_D1_N</t>
  </si>
  <si>
    <t>HDMI0_HEC_P</t>
  </si>
  <si>
    <t>HDMI0_HEC_N</t>
  </si>
  <si>
    <t>HDMI1_D0_P</t>
  </si>
  <si>
    <t>FMC_LA31_P</t>
  </si>
  <si>
    <t>HDMI1_D0_N</t>
  </si>
  <si>
    <t>FMC_LA31_N</t>
  </si>
  <si>
    <t>HDMI1_D2_P</t>
  </si>
  <si>
    <t>HDMI1_D2_N</t>
  </si>
  <si>
    <t>PWR_GOOD</t>
  </si>
  <si>
    <t>USB_DP</t>
  </si>
  <si>
    <t>USB_DM</t>
  </si>
  <si>
    <t>USB_VBUS</t>
  </si>
  <si>
    <t>USB_ID</t>
  </si>
  <si>
    <t>ETH_A_N</t>
  </si>
  <si>
    <t>ETH_A_P</t>
  </si>
  <si>
    <t>ETH0_LED1#</t>
  </si>
  <si>
    <t>ETH_LED1#</t>
  </si>
  <si>
    <t>ETH0_LED2#</t>
  </si>
  <si>
    <t>ETH_LED2#</t>
  </si>
  <si>
    <t>ETH_B_N</t>
  </si>
  <si>
    <t>ETH_B_P</t>
  </si>
  <si>
    <t>ETH_C_N</t>
  </si>
  <si>
    <t>ETH_C_P</t>
  </si>
  <si>
    <t>ETH1_LED1#</t>
  </si>
  <si>
    <t>ETH1_LED2#</t>
  </si>
  <si>
    <t>ETH_D_N</t>
  </si>
  <si>
    <t>ETH_D_P</t>
  </si>
  <si>
    <t>FMC_LA17_CC_P</t>
  </si>
  <si>
    <t>FMC_LA17_CC_N</t>
  </si>
  <si>
    <t>FMC_LA18_CC_P</t>
  </si>
  <si>
    <t>RESET#</t>
  </si>
  <si>
    <t>FMC_LA18_CC_N</t>
  </si>
  <si>
    <t>FMC_LA21_P</t>
  </si>
  <si>
    <t>FMC_LA21_N</t>
  </si>
  <si>
    <t>FMC_LA23_P</t>
  </si>
  <si>
    <t>FMC_LA23_N</t>
  </si>
  <si>
    <t>FMC_LA25_P</t>
  </si>
  <si>
    <t>FMC_LA25_N</t>
  </si>
  <si>
    <t>FMC_LA27_P</t>
  </si>
  <si>
    <t>FMC_LA27_N</t>
  </si>
  <si>
    <t>FMC_LA15_P</t>
  </si>
  <si>
    <t>FMC_LA15_N</t>
  </si>
  <si>
    <t>FMC_LA16_P</t>
  </si>
  <si>
    <t>FMC_LA16_N</t>
  </si>
  <si>
    <t>FMC_LA00_CC_P</t>
  </si>
  <si>
    <t>FMC_LA00_CC_N</t>
  </si>
  <si>
    <t>FMC_LA04_P</t>
  </si>
  <si>
    <t>FMC_LA04_N</t>
  </si>
  <si>
    <t>FMC_LA06_P</t>
  </si>
  <si>
    <t>FMC_LA06_N</t>
  </si>
  <si>
    <t>FMC_LA01_CC_P</t>
  </si>
  <si>
    <t>FMC_LA01_CC_N</t>
  </si>
  <si>
    <t>FMC_LA08_P</t>
  </si>
  <si>
    <t>FMC_LA08_N</t>
  </si>
  <si>
    <t>FMC_LA10_P</t>
  </si>
  <si>
    <t>FMC_LA10_N</t>
  </si>
  <si>
    <t>FMC_LA11_P</t>
  </si>
  <si>
    <t>FMC_LA11_N</t>
  </si>
  <si>
    <t>FMC_LA13_P</t>
  </si>
  <si>
    <t>FMC_LA13_N</t>
  </si>
  <si>
    <t>SDCARD_CLK</t>
  </si>
  <si>
    <t>HDMI0_SDA</t>
  </si>
  <si>
    <t>FMC_LA19_P</t>
  </si>
  <si>
    <t>HDMI0_SCL</t>
  </si>
  <si>
    <t>FMC_LA19_N</t>
  </si>
  <si>
    <t>HDMI1_SDA</t>
  </si>
  <si>
    <t>FMC_LA20_P</t>
  </si>
  <si>
    <t>HDMI1_SCL</t>
  </si>
  <si>
    <t>FMC_LA20_N</t>
  </si>
  <si>
    <t>HDMI0_CEC</t>
  </si>
  <si>
    <t>FMC_LA22_P</t>
  </si>
  <si>
    <t>HDMI1_CEC</t>
  </si>
  <si>
    <t>FMC_LA22_N</t>
  </si>
  <si>
    <t>FMC_LA24_P</t>
  </si>
  <si>
    <t>FMC_LA24_N</t>
  </si>
  <si>
    <t>FMC_LA26_P</t>
  </si>
  <si>
    <t>FMC_LA26_N</t>
  </si>
  <si>
    <t>FMC_LA28_P</t>
  </si>
  <si>
    <t>FMC_LA28_N</t>
  </si>
  <si>
    <t>FMC_LA29_P</t>
  </si>
  <si>
    <t>FMC_LA29_N</t>
  </si>
  <si>
    <t>FMC_LA30_P</t>
  </si>
  <si>
    <t>FMC_LA30_N</t>
  </si>
  <si>
    <t>FMC_LA02_P</t>
  </si>
  <si>
    <t>FMC_LA02_N</t>
  </si>
  <si>
    <t>FMC_LA03_P</t>
  </si>
  <si>
    <t>FMC_LA03_N</t>
  </si>
  <si>
    <t>FMC_LA05_P</t>
  </si>
  <si>
    <t>FMC_LA05_N</t>
  </si>
  <si>
    <t>FMC_LA07_P</t>
  </si>
  <si>
    <t>FMC_LA07_N</t>
  </si>
  <si>
    <t>FMC_LA09_P</t>
  </si>
  <si>
    <t>FMC_LA09_N</t>
  </si>
  <si>
    <t>FMC_CLK0_M2C_P</t>
  </si>
  <si>
    <t>FMC_CLK0_M2C_N</t>
  </si>
  <si>
    <t>FMC_LA12_P</t>
  </si>
  <si>
    <t>FMC_LA12_N</t>
  </si>
  <si>
    <t>FMC_LA14_P</t>
  </si>
  <si>
    <t>FMC_LA14_N</t>
  </si>
  <si>
    <t>FPGA_MODE</t>
  </si>
  <si>
    <t>FPGA_INIT#</t>
  </si>
  <si>
    <t>FPGA_PROG#</t>
  </si>
  <si>
    <t>FLASH_DO_FPGA_DIN</t>
  </si>
  <si>
    <t>PS_SRST#</t>
  </si>
  <si>
    <t>FPGA_STATUS#</t>
  </si>
  <si>
    <t>PS_POR#</t>
  </si>
  <si>
    <t>FPGA_CONFIG#</t>
  </si>
  <si>
    <t>FLASH_CLK_FPGA_CCLK</t>
  </si>
  <si>
    <t>A_IO0</t>
  </si>
  <si>
    <t>A_IO1</t>
  </si>
  <si>
    <t>A_IO2</t>
  </si>
  <si>
    <t>A_IO3</t>
  </si>
  <si>
    <t>A_IO4</t>
  </si>
  <si>
    <t>A_IO6</t>
  </si>
  <si>
    <t>A_IO5</t>
  </si>
  <si>
    <t>A_IO7</t>
  </si>
  <si>
    <t>A_IO8</t>
  </si>
  <si>
    <t>A_IO9</t>
  </si>
  <si>
    <t>A_IO10</t>
  </si>
  <si>
    <t>A_IO11</t>
  </si>
  <si>
    <t>A_IO12</t>
  </si>
  <si>
    <t>A_IO13</t>
  </si>
  <si>
    <t>A_IO14</t>
  </si>
  <si>
    <t>A_IO15</t>
  </si>
  <si>
    <t>A_IO16</t>
  </si>
  <si>
    <t>A_IO17</t>
  </si>
  <si>
    <t>A_IO18</t>
  </si>
  <si>
    <t>A_IO19</t>
  </si>
  <si>
    <t>A_IO22</t>
  </si>
  <si>
    <t>A_IO20</t>
  </si>
  <si>
    <t>A_IO23</t>
  </si>
  <si>
    <t>A_IO21</t>
  </si>
  <si>
    <t>B_IO6</t>
  </si>
  <si>
    <t>B_IO4</t>
  </si>
  <si>
    <t>B_IO7</t>
  </si>
  <si>
    <t>B_IO5</t>
  </si>
  <si>
    <t>B_IO2</t>
  </si>
  <si>
    <t>B_IO3</t>
  </si>
  <si>
    <t>B_IO0</t>
  </si>
  <si>
    <t>B_IO1</t>
  </si>
  <si>
    <t>B_IO8</t>
  </si>
  <si>
    <t>B_IO9</t>
  </si>
  <si>
    <t>B_IO10</t>
  </si>
  <si>
    <t>B_IO11</t>
  </si>
  <si>
    <t>B_IO12</t>
  </si>
  <si>
    <t>B_IO13</t>
  </si>
  <si>
    <t>B_IO14</t>
  </si>
  <si>
    <t>B_IO16</t>
  </si>
  <si>
    <t>B_IO15</t>
  </si>
  <si>
    <t>B_IO17</t>
  </si>
  <si>
    <t>B_IO18</t>
  </si>
  <si>
    <t>B_IO19</t>
  </si>
  <si>
    <t>B_IO22</t>
  </si>
  <si>
    <t>B_IO20</t>
  </si>
  <si>
    <t>B_IO23</t>
  </si>
  <si>
    <t>B_IO21</t>
  </si>
  <si>
    <t>SDCARD_D1</t>
  </si>
  <si>
    <t>SDCARD_D2</t>
  </si>
  <si>
    <t>SDCARD_D0</t>
  </si>
  <si>
    <t>SDCARD_D3</t>
  </si>
  <si>
    <t>C_IO8</t>
  </si>
  <si>
    <t>C_IO9</t>
  </si>
  <si>
    <t>C_IO10</t>
  </si>
  <si>
    <t>C_IO11</t>
  </si>
  <si>
    <t>C_IO2</t>
  </si>
  <si>
    <t>C_IO0</t>
  </si>
  <si>
    <t>C_IO3</t>
  </si>
  <si>
    <t>C_IO1</t>
  </si>
  <si>
    <t>C_IO6</t>
  </si>
  <si>
    <t>C_IO4</t>
  </si>
  <si>
    <t>C_IO7</t>
  </si>
  <si>
    <t>C_IO5</t>
  </si>
  <si>
    <t>B_INCLK0</t>
  </si>
  <si>
    <t>B_INCLK1</t>
  </si>
  <si>
    <t>A_INCLK0</t>
  </si>
  <si>
    <t>A_INCLK1</t>
  </si>
  <si>
    <t>VIN_MOD</t>
  </si>
  <si>
    <t>VCC_2V5</t>
  </si>
  <si>
    <t>FPGA_CONFDONE</t>
  </si>
  <si>
    <t>VIN_CFG</t>
  </si>
  <si>
    <t>-</t>
  </si>
  <si>
    <t>Altera</t>
  </si>
  <si>
    <t>Xilinx</t>
  </si>
  <si>
    <t>Hotkeys:</t>
  </si>
  <si>
    <t>Enter full screen mode: Alt+WE</t>
  </si>
  <si>
    <t>Exit full screen mode: ESC</t>
  </si>
  <si>
    <t>Select products to view:</t>
  </si>
  <si>
    <t>Master Pinout for Enclustra Mercury Modules: 168-pin Hirose FX10 Connector A</t>
  </si>
  <si>
    <t>Mercury CA1</t>
  </si>
  <si>
    <t>Mercury KX1</t>
  </si>
  <si>
    <t>Mercury SA1</t>
  </si>
  <si>
    <t>Mercury ZX1</t>
  </si>
  <si>
    <t>Mercury Starter</t>
  </si>
  <si>
    <t>R5</t>
  </si>
  <si>
    <t>Outside</t>
  </si>
  <si>
    <t>Inside</t>
  </si>
  <si>
    <t>Cyclone IV</t>
  </si>
  <si>
    <t>Kintex-7</t>
  </si>
  <si>
    <t>Cyclone V SoC</t>
  </si>
  <si>
    <t>Connector A            Pin Numbers</t>
  </si>
  <si>
    <t>Connector B            Pin Numbers</t>
  </si>
  <si>
    <t>Master Pinout for Enclustra Mercury Modules: 168-pin Hirose FX10 Connector B</t>
  </si>
  <si>
    <t>VOUT_3V3</t>
  </si>
  <si>
    <t>USB_SSRX_P</t>
  </si>
  <si>
    <t>USB_SSRX_N</t>
  </si>
  <si>
    <t>SRST#_RDY#</t>
  </si>
  <si>
    <t>USB_SSTX_P</t>
  </si>
  <si>
    <t>USB_SSTX_N</t>
  </si>
  <si>
    <t>IO_B6_H22</t>
  </si>
  <si>
    <t>VOUT_A</t>
  </si>
  <si>
    <t>IO_B6_F20</t>
  </si>
  <si>
    <t>IO_B6_E21</t>
  </si>
  <si>
    <t>IO_B6_E22</t>
  </si>
  <si>
    <t>IO_B6_D21</t>
  </si>
  <si>
    <t>IO_B6_D22</t>
  </si>
  <si>
    <t>IO_B6_C20</t>
  </si>
  <si>
    <t>IO_B6_B21</t>
  </si>
  <si>
    <t>IO_B6_B22</t>
  </si>
  <si>
    <t>RSVD_A133</t>
  </si>
  <si>
    <t>ETH0_D_N</t>
  </si>
  <si>
    <t>ETH0_D_P</t>
  </si>
  <si>
    <t>ETH0_LED0#</t>
  </si>
  <si>
    <t>ETH0_C_N</t>
  </si>
  <si>
    <t>ETH0_C_P</t>
  </si>
  <si>
    <t>ETH0_CTREF</t>
  </si>
  <si>
    <t>ETH0_B_N</t>
  </si>
  <si>
    <t>ETH0_B_P</t>
  </si>
  <si>
    <t>ETH0_A_N</t>
  </si>
  <si>
    <t>ETH0_A_P</t>
  </si>
  <si>
    <t>VCC_MOD</t>
  </si>
  <si>
    <t>IO_B5_RUP3_T17</t>
  </si>
  <si>
    <t>IO_B5_RDN3_T18</t>
  </si>
  <si>
    <t>IO_B5_S_R19</t>
  </si>
  <si>
    <t>IO_B5_S_R20</t>
  </si>
  <si>
    <t>RSVD_A27</t>
  </si>
  <si>
    <t>IO_B5_S_M16</t>
  </si>
  <si>
    <t>IO_B5_S_N18</t>
  </si>
  <si>
    <t>IO_B5_S_N20</t>
  </si>
  <si>
    <t>VCC_IO_A</t>
  </si>
  <si>
    <t>IO_B5_S_M19</t>
  </si>
  <si>
    <t>IO_B5_S_M20</t>
  </si>
  <si>
    <t>C_IO18</t>
  </si>
  <si>
    <t>C_IO19</t>
  </si>
  <si>
    <t>C_IO20</t>
  </si>
  <si>
    <t>C_IO21</t>
  </si>
  <si>
    <t>C_IO22</t>
  </si>
  <si>
    <t>C_IO23</t>
  </si>
  <si>
    <t>IO_B6_G18</t>
  </si>
  <si>
    <t>IO_B6_K18</t>
  </si>
  <si>
    <t>IO_B6_K21</t>
  </si>
  <si>
    <t>IO_B6_K22</t>
  </si>
  <si>
    <t>VCC_IO_B6 (*1)</t>
  </si>
  <si>
    <t>IO_B6_H21</t>
  </si>
  <si>
    <t>IO_B5_AA21</t>
  </si>
  <si>
    <t>C_INCLK0</t>
  </si>
  <si>
    <t>IO_B5_Y22</t>
  </si>
  <si>
    <t>C_INCLK1</t>
  </si>
  <si>
    <t>IO_B5_VREF_W19</t>
  </si>
  <si>
    <t>IO_B5_VREF_R17</t>
  </si>
  <si>
    <t>IO_B5_W20</t>
  </si>
  <si>
    <t>IO_B5_W21</t>
  </si>
  <si>
    <t>IO_B5_W22</t>
  </si>
  <si>
    <t>IO_B5_S_V21</t>
  </si>
  <si>
    <t>IO_B5_V22</t>
  </si>
  <si>
    <t>IO_B5_U20</t>
  </si>
  <si>
    <t>OSC_P</t>
  </si>
  <si>
    <t>OSC_N</t>
  </si>
  <si>
    <t>IO_B6_L21</t>
  </si>
  <si>
    <t>C_IO12</t>
  </si>
  <si>
    <t>IO_B6_L22</t>
  </si>
  <si>
    <t>C_IO13</t>
  </si>
  <si>
    <t>IO_B6_J22</t>
  </si>
  <si>
    <t>C_IO14</t>
  </si>
  <si>
    <t>IO_B6_J21</t>
  </si>
  <si>
    <t>C_IO15</t>
  </si>
  <si>
    <t>IO_B6_VREF_K19</t>
  </si>
  <si>
    <t>C_IO16</t>
  </si>
  <si>
    <t>IO_B6_VREF_J18</t>
  </si>
  <si>
    <t>C_IO17</t>
  </si>
  <si>
    <t>IO_B6_H19</t>
  </si>
  <si>
    <t>DP0_HOTPLUG</t>
  </si>
  <si>
    <t>IO_B6_H20</t>
  </si>
  <si>
    <t>SW0#</t>
  </si>
  <si>
    <t>IO_B6_VREF_H18</t>
  </si>
  <si>
    <t>SW1#</t>
  </si>
  <si>
    <t>IO_B6_VREF_D20</t>
  </si>
  <si>
    <t>SW2#</t>
  </si>
  <si>
    <t>IO_B6_F17</t>
  </si>
  <si>
    <t>SW3#</t>
  </si>
  <si>
    <t>IO_B6_F19</t>
  </si>
  <si>
    <t>LED0#</t>
  </si>
  <si>
    <t>IO_B6_F22</t>
  </si>
  <si>
    <t>LED1#</t>
  </si>
  <si>
    <t>UART_RX</t>
  </si>
  <si>
    <t>IO_B6_F21</t>
  </si>
  <si>
    <t>LED2#</t>
  </si>
  <si>
    <t>UART_TX</t>
  </si>
  <si>
    <t>VMON_1V0</t>
  </si>
  <si>
    <t>IO_B6_C21</t>
  </si>
  <si>
    <t>LED3#</t>
  </si>
  <si>
    <t>IO_B6_C22</t>
  </si>
  <si>
    <t>FPGA_CCLK_0</t>
  </si>
  <si>
    <t>RSVD_A110</t>
  </si>
  <si>
    <t>RSVD_A112</t>
  </si>
  <si>
    <t>FPGA_DCLK</t>
  </si>
  <si>
    <t>FPGA_CCLK</t>
  </si>
  <si>
    <t>FLASH_DO_FPGA_DI</t>
  </si>
  <si>
    <t>FPGA_DI</t>
  </si>
  <si>
    <t>HPS_POR#</t>
  </si>
  <si>
    <t>ETH1_D_N</t>
  </si>
  <si>
    <t>ETH1_D_P</t>
  </si>
  <si>
    <t>ETH1_LED0#</t>
  </si>
  <si>
    <t>ETH1_C_N</t>
  </si>
  <si>
    <t>ETH1_C_P</t>
  </si>
  <si>
    <t>ETH1_CTREF</t>
  </si>
  <si>
    <t>ETH1_B_N</t>
  </si>
  <si>
    <t>ETH1_B_P</t>
  </si>
  <si>
    <t>ETH1_A_N</t>
  </si>
  <si>
    <t>ETH1_A_P</t>
  </si>
  <si>
    <t>IO_B4_AA20</t>
  </si>
  <si>
    <t>IO_B4_AB20</t>
  </si>
  <si>
    <t>IO_B4_RUP2_AA19</t>
  </si>
  <si>
    <t>IO_B4_RDN2_AB19</t>
  </si>
  <si>
    <t>IO_B4_AA17</t>
  </si>
  <si>
    <t>MGT_TX0_P</t>
  </si>
  <si>
    <t>DP0_LANE0_TX_P</t>
  </si>
  <si>
    <t>IO_B4_T16</t>
  </si>
  <si>
    <t>MGT_TX0_N</t>
  </si>
  <si>
    <t>DP0_LANE0_TX_N</t>
  </si>
  <si>
    <t>IO_B4_S_AA16</t>
  </si>
  <si>
    <t>MGT_TX1_P</t>
  </si>
  <si>
    <t>DP0_LANE1_TX_P</t>
  </si>
  <si>
    <t>IO_B4_S_U12</t>
  </si>
  <si>
    <t>MGT_TX1_N</t>
  </si>
  <si>
    <t>DP0_LANE1_TX_N</t>
  </si>
  <si>
    <t>MGT_TX2_P</t>
  </si>
  <si>
    <t>DPX_LANE2_TX_P</t>
  </si>
  <si>
    <t>MGT_TX2_N</t>
  </si>
  <si>
    <t>DPX_LANE2_TX_N</t>
  </si>
  <si>
    <t>MGT_TX3_P</t>
  </si>
  <si>
    <t>DPX_LANE3_TX_P</t>
  </si>
  <si>
    <t>LED3#/FTDI_OE#</t>
  </si>
  <si>
    <t>MGT_TX3_N</t>
  </si>
  <si>
    <t>DPX_LANE3_TX_N</t>
  </si>
  <si>
    <t>IO_B4_V15</t>
  </si>
  <si>
    <t>D_IO0</t>
  </si>
  <si>
    <t>IO_B4_W15</t>
  </si>
  <si>
    <t>D_IO1</t>
  </si>
  <si>
    <t>IO_B4_U14</t>
  </si>
  <si>
    <t>REFCLK_CTRL</t>
  </si>
  <si>
    <t>D_IO2</t>
  </si>
  <si>
    <t>IO_B4_T15</t>
  </si>
  <si>
    <t>OSC_CTRL</t>
  </si>
  <si>
    <t>D_IO3</t>
  </si>
  <si>
    <t>VCC_IO_B</t>
  </si>
  <si>
    <t>IO_B3_AA4</t>
  </si>
  <si>
    <t>IO_B3_Y3</t>
  </si>
  <si>
    <t>IO_B3_AB3</t>
  </si>
  <si>
    <t>IO_B3_AA3</t>
  </si>
  <si>
    <t>IO_B3_AA5</t>
  </si>
  <si>
    <t>D_IO4</t>
  </si>
  <si>
    <t>IO_B3_AB5</t>
  </si>
  <si>
    <t>D_IO5</t>
  </si>
  <si>
    <t>IO_B3_V5</t>
  </si>
  <si>
    <t>D_IO6</t>
  </si>
  <si>
    <t>IO_B3_Y6</t>
  </si>
  <si>
    <t>D_IO7</t>
  </si>
  <si>
    <t>IO_B3_W6</t>
  </si>
  <si>
    <t>D_IO8</t>
  </si>
  <si>
    <t>IO_B3_AA7</t>
  </si>
  <si>
    <t>D_IO9</t>
  </si>
  <si>
    <t>IO_B3_VREF_AB4</t>
  </si>
  <si>
    <t>D_IO10</t>
  </si>
  <si>
    <t>IO_B3_VREF_Y4</t>
  </si>
  <si>
    <t>D_IO11</t>
  </si>
  <si>
    <t>SDCARD_CD</t>
  </si>
  <si>
    <t>IO_B2_AA1</t>
  </si>
  <si>
    <t>IO_B2_Y1</t>
  </si>
  <si>
    <t>D_INCLK0</t>
  </si>
  <si>
    <t>IO_B2_Y2</t>
  </si>
  <si>
    <t>D_INCLK1</t>
  </si>
  <si>
    <t>IO_B2_VREF_T3</t>
  </si>
  <si>
    <t>IO_B2_T4</t>
  </si>
  <si>
    <t>IO_B2_VREF_R5</t>
  </si>
  <si>
    <t>IO_B2_T5</t>
  </si>
  <si>
    <t>IO_B4_VREF_V16</t>
  </si>
  <si>
    <t>MGT_REFCLK0_P</t>
  </si>
  <si>
    <t>IO_B4_R16</t>
  </si>
  <si>
    <t>MGT_REFCLK0_N</t>
  </si>
  <si>
    <t>IO_B4_AB16</t>
  </si>
  <si>
    <t>MGT_REFCLK1_P</t>
  </si>
  <si>
    <t>IO_B4_W17</t>
  </si>
  <si>
    <t>MGT_REFCLK1_N</t>
  </si>
  <si>
    <t>IO_B4_AB17</t>
  </si>
  <si>
    <t>MGT_RX0_P</t>
  </si>
  <si>
    <t>DPX_LANE2_RX_P</t>
  </si>
  <si>
    <t>IO_B4_Y17</t>
  </si>
  <si>
    <t>MGT_RX0_N</t>
  </si>
  <si>
    <t>DPX_LANE2_RX_N</t>
  </si>
  <si>
    <t>IO_B4_AB18</t>
  </si>
  <si>
    <t>MGT_RX1_P</t>
  </si>
  <si>
    <t>DPX_LANE3_RX_P</t>
  </si>
  <si>
    <t>IO_B4_V14</t>
  </si>
  <si>
    <t>MGT_RX1_N</t>
  </si>
  <si>
    <t>DPX_LANE3_RX_N</t>
  </si>
  <si>
    <t>MGT_RX2_P</t>
  </si>
  <si>
    <t>DP1_LANE0_RX_P</t>
  </si>
  <si>
    <t>MGT_RX2_N</t>
  </si>
  <si>
    <t>DP1_LANE0_RX_N</t>
  </si>
  <si>
    <t>MGT_RX3_P</t>
  </si>
  <si>
    <t>DP1_LANE1_RX_P</t>
  </si>
  <si>
    <t>MGT_RX3_N</t>
  </si>
  <si>
    <t>DP1_LANE1_RX_N</t>
  </si>
  <si>
    <t>IO_B4_VREF_AA18</t>
  </si>
  <si>
    <t>DP0_AUX_P</t>
  </si>
  <si>
    <t>IO_B4_VREF_W14</t>
  </si>
  <si>
    <t>DP0_AUX_N</t>
  </si>
  <si>
    <t>VOUT_B</t>
  </si>
  <si>
    <t>IO_B4_V13</t>
  </si>
  <si>
    <t>DP1_AUX_P</t>
  </si>
  <si>
    <t>DP1_AUX_N</t>
  </si>
  <si>
    <t>HDMI1_CLK_P</t>
  </si>
  <si>
    <t>HDMI1_CLK_N</t>
  </si>
  <si>
    <t>D_IO12</t>
  </si>
  <si>
    <t>IO_B3_VREF_V9</t>
  </si>
  <si>
    <t>D_IO13</t>
  </si>
  <si>
    <t>IO_B3_S_V11</t>
  </si>
  <si>
    <t>D_IO14</t>
  </si>
  <si>
    <t>IO_B3_S_U10</t>
  </si>
  <si>
    <t>D_IO15</t>
  </si>
  <si>
    <t>IO_B3_V10</t>
  </si>
  <si>
    <t>D_IO16</t>
  </si>
  <si>
    <t>IO_B3_U9</t>
  </si>
  <si>
    <t>D_IO17</t>
  </si>
  <si>
    <t>IO_B3_V8</t>
  </si>
  <si>
    <t>D_IO18</t>
  </si>
  <si>
    <t>IO_B3_W8</t>
  </si>
  <si>
    <t>D_IO19</t>
  </si>
  <si>
    <t>IO_B3_Y8</t>
  </si>
  <si>
    <t>D_IO20</t>
  </si>
  <si>
    <t>IO_B3_W7</t>
  </si>
  <si>
    <t>D_IO21</t>
  </si>
  <si>
    <t>IO_B3_Y7</t>
  </si>
  <si>
    <t>D_IO22</t>
  </si>
  <si>
    <t>IO_B3_AB7</t>
  </si>
  <si>
    <t>D_IO23</t>
  </si>
  <si>
    <t>IO_B2_W1</t>
  </si>
  <si>
    <t>IO_B2_W2</t>
  </si>
  <si>
    <t>SDCARD_CS#</t>
  </si>
  <si>
    <t>IO_B2_RUP1_V4</t>
  </si>
  <si>
    <t>IO_B2_RDN1_V3</t>
  </si>
  <si>
    <t>IO_B2_S_N5</t>
  </si>
  <si>
    <t>IO_B2_S_P5</t>
  </si>
  <si>
    <t>IO_B2_S_N6</t>
  </si>
  <si>
    <t>VMON_AUX_IO</t>
  </si>
  <si>
    <t xml:space="preserve">Mercury Family Master Pinout </t>
  </si>
  <si>
    <t>Base Boards</t>
  </si>
  <si>
    <t>Disclaimers</t>
  </si>
  <si>
    <t>All pinout and pin information is provided as-is without assurance of correctness or completeness.</t>
  </si>
  <si>
    <t>All information is subject to change at any time without notice.</t>
  </si>
  <si>
    <t>Please verify all data with Enclustra's user manuals, FPGA and other components vendor's documentation.</t>
  </si>
  <si>
    <t>Enclustra recommends checking the module's and the FPGA and other components errata sheets.</t>
  </si>
  <si>
    <t>Mercury ZX5</t>
  </si>
  <si>
    <t>VCC_MAIN_MOD</t>
  </si>
  <si>
    <t>IO_B5A_TX_R1_AF26_P</t>
  </si>
  <si>
    <t>IO_B13_L15_AB21_P</t>
  </si>
  <si>
    <t>IOA_D10_P</t>
  </si>
  <si>
    <t>IO_B5A_TX_R1_AE26_N</t>
  </si>
  <si>
    <t>IO_B13_L15_AB22_N</t>
  </si>
  <si>
    <t>IOA_D11_N</t>
  </si>
  <si>
    <t>IO_B5A_TX_R3_AE25_P</t>
  </si>
  <si>
    <t>IO_B13_L17_AB16_P</t>
  </si>
  <si>
    <t>IOA_D12_P</t>
  </si>
  <si>
    <t>IO_B5A_TX_R3_CVP_AD26_N</t>
  </si>
  <si>
    <t>IO_B13_L17_AB17_N</t>
  </si>
  <si>
    <t>IOA_D13_N</t>
  </si>
  <si>
    <t>IO_B5A_TX_R5_AC24_P</t>
  </si>
  <si>
    <t>IO_B13_L21_V18_P</t>
  </si>
  <si>
    <t>IOA_D14_P</t>
  </si>
  <si>
    <t>IO_B5A_TX_R5_AB23_N</t>
  </si>
  <si>
    <t>IO_B13_L21_W18_N</t>
  </si>
  <si>
    <t>IOA_D15_N</t>
  </si>
  <si>
    <t>VCC_3V3_MOD</t>
  </si>
  <si>
    <t>IO_B5A_TX_R7_AA24_P</t>
  </si>
  <si>
    <t>IO_B13_L23_V16_P</t>
  </si>
  <si>
    <t>IOA_D16_P</t>
  </si>
  <si>
    <t>IO_B5A_TX_R7_AA23_N</t>
  </si>
  <si>
    <t>IO_B13_L23_W16_N</t>
  </si>
  <si>
    <t>IOA_D17_N</t>
  </si>
  <si>
    <t>IO_B5B_TX_R22_AB26_P</t>
  </si>
  <si>
    <t>IO_B13_L8_AA12_P</t>
  </si>
  <si>
    <t>IOA_D18_P</t>
  </si>
  <si>
    <t>IO_B5B_TX_R22_AA26_N</t>
  </si>
  <si>
    <t>IO_B13_L8_AB12_N</t>
  </si>
  <si>
    <t>IOA_D19_N</t>
  </si>
  <si>
    <t>VCC_IO_B5</t>
  </si>
  <si>
    <t>VCC_IO_B12</t>
  </si>
  <si>
    <t>VCC_IO_B5A_B5B</t>
  </si>
  <si>
    <t>VCC_IO_B13</t>
  </si>
  <si>
    <t>IO_B3B_TX_B28_AE7_P</t>
  </si>
  <si>
    <t>IO_B13_L2_V15_P</t>
  </si>
  <si>
    <t>IOA_D20_P</t>
  </si>
  <si>
    <t>IO_B3B_TX_B28_AF8_N</t>
  </si>
  <si>
    <t>IO_B13_L2_W15_N</t>
  </si>
  <si>
    <t>IOA_D21_N</t>
  </si>
  <si>
    <t>IO_B3B_TX_B29_AE8_P</t>
  </si>
  <si>
    <t>IO_B13_L14_SRCC_AA16_P</t>
  </si>
  <si>
    <t>IOA_D22_P</t>
  </si>
  <si>
    <t>IO_B3B_TX_B29_AF9_N</t>
  </si>
  <si>
    <t>IO_B13_L14_SRCC_AA17_N</t>
  </si>
  <si>
    <t>IOA_D23_N</t>
  </si>
  <si>
    <t>VCC_OUT_A</t>
  </si>
  <si>
    <t>IO_B3B_TX_B25_AE4_P</t>
  </si>
  <si>
    <t>IO_B13_L5_U11_P</t>
  </si>
  <si>
    <t>IOB_D8_P</t>
  </si>
  <si>
    <t>IO_B3B_TX_B25_AF4_N</t>
  </si>
  <si>
    <t>IO_B13_L5_U12_N</t>
  </si>
  <si>
    <t>IOB_D9_N</t>
  </si>
  <si>
    <t>IO_B3A_TX_B2_Y5_P</t>
  </si>
  <si>
    <t>IO_B13_L7_AA11_P</t>
  </si>
  <si>
    <t>IOB_D10_P</t>
  </si>
  <si>
    <t>IO_B3A_TX_B2_Y4_N</t>
  </si>
  <si>
    <t>IO_B13_L7_AB11_N</t>
  </si>
  <si>
    <t>IOB_D11_N</t>
  </si>
  <si>
    <t>IO_B3A_TX_B4_AA4_P</t>
  </si>
  <si>
    <t>IO_B13_L9_AB13_P</t>
  </si>
  <si>
    <t>IOB_D12_P</t>
  </si>
  <si>
    <t>IO_B3A_TX_B4_AB4_N</t>
  </si>
  <si>
    <t>IO_B13_L9_AB14_N</t>
  </si>
  <si>
    <t>IOB_D13_N</t>
  </si>
  <si>
    <t>IO_B3A_TX_B6_AC4_P</t>
  </si>
  <si>
    <t>IO_B13_L19_R17_P</t>
  </si>
  <si>
    <t>IOB_D14_P</t>
  </si>
  <si>
    <t>IO_B3A_TX_B6_AD4_N</t>
  </si>
  <si>
    <t>IO_B13_L19_VREF_T17_N</t>
  </si>
  <si>
    <t>IOB_D15_N</t>
  </si>
  <si>
    <t>VCC_CFG_B13</t>
  </si>
  <si>
    <t>VCC_CFG_HPS_B3A_B8A</t>
  </si>
  <si>
    <t>VCC_CFG_MIO</t>
  </si>
  <si>
    <t>IO_B3A_TX_B8_AD5_P</t>
  </si>
  <si>
    <t>IO_B13_L22_U17_P</t>
  </si>
  <si>
    <t>IOB_D16_SC0_DIP1#</t>
  </si>
  <si>
    <t>IO_B3A_TX_B8_AE6_N</t>
  </si>
  <si>
    <t>IO_B13_L22_U18_N</t>
  </si>
  <si>
    <t>IOB_D17_SC1_DIP2#</t>
  </si>
  <si>
    <t>IO_B8A_CLK6_T9_E11_P</t>
  </si>
  <si>
    <t>IO_B13_L13_MRCC_Y18_P</t>
  </si>
  <si>
    <t>IO_B8A_CLK6_T9_D11_N</t>
  </si>
  <si>
    <t>IO_B13_L13_MRCC_Y19_N</t>
  </si>
  <si>
    <t>HPS_GPIO45_SDCLK</t>
  </si>
  <si>
    <t>PS_MIO40_SDCLK</t>
  </si>
  <si>
    <t>SDIO_CLK</t>
  </si>
  <si>
    <t>HPS_GPIO36_SDCMD</t>
  </si>
  <si>
    <t>PS_MIO41_SDCMD</t>
  </si>
  <si>
    <t>SDIO_CMD</t>
  </si>
  <si>
    <t>HPS_GPIO38_SDD0</t>
  </si>
  <si>
    <t>PS_MIO42_SDD0</t>
  </si>
  <si>
    <t>SDIO_D0</t>
  </si>
  <si>
    <t>HPS_GPIO39_SDD1</t>
  </si>
  <si>
    <t>PS_MIO43_SDD1</t>
  </si>
  <si>
    <t>SDIO_D1</t>
  </si>
  <si>
    <t>HPS_GPIO46_SDD2</t>
  </si>
  <si>
    <t>PS_MIO44_SDD2</t>
  </si>
  <si>
    <t>SDIO_D2</t>
  </si>
  <si>
    <t>HPS_GPIO47_SDD3</t>
  </si>
  <si>
    <t>PS_MIO45_SDD3</t>
  </si>
  <si>
    <t>SDIO_D3</t>
  </si>
  <si>
    <t>HPS_GPIO65_UART0RX</t>
  </si>
  <si>
    <t>PS_MIO46_UARTRX</t>
  </si>
  <si>
    <t>HPS_GPIO66_UART0TX_CS0</t>
  </si>
  <si>
    <t>PS_MIO47_UARTTX</t>
  </si>
  <si>
    <t>USBMOD_D_P</t>
  </si>
  <si>
    <t>USBMOD_D_N</t>
  </si>
  <si>
    <t>USBMOD_ID</t>
  </si>
  <si>
    <t>IO_B5B_CLK4_R23_Y24_P</t>
  </si>
  <si>
    <t>IO_B13_L12_MRCC_Y14_P</t>
  </si>
  <si>
    <t>IO_B5B_CLK4_R23_W24_N</t>
  </si>
  <si>
    <t>IO_B13_L12_MRCC_Y15_N</t>
  </si>
  <si>
    <t>IO_B5A_RX_R2_AA20_P</t>
  </si>
  <si>
    <t>IO_B13_L18_AA19_P</t>
  </si>
  <si>
    <t>IOA_D0_P</t>
  </si>
  <si>
    <t>IO_B5A_RX_R2_Y19_N</t>
  </si>
  <si>
    <t>IO_B13_L18_AA20_N</t>
  </si>
  <si>
    <t>IOA_D1_N</t>
  </si>
  <si>
    <t>IO_B5A_RX_R4_Y17_P</t>
  </si>
  <si>
    <t>IO_B13_L1_V13_P</t>
  </si>
  <si>
    <t>IOA_D2_P</t>
  </si>
  <si>
    <t>IO_B5A_RX_R4_Y18_N</t>
  </si>
  <si>
    <t>IO_B13_L1_V14_N</t>
  </si>
  <si>
    <t>IOA_D3_N</t>
  </si>
  <si>
    <t>IO_B5A_RX_R6_Y16_P</t>
  </si>
  <si>
    <t>IO_B13_L6_U13_P</t>
  </si>
  <si>
    <t>IOA_D4_P</t>
  </si>
  <si>
    <t>IO_B5A_RX_R6_PERST#_W15_N</t>
  </si>
  <si>
    <t>IO_B13_L6_VREF_U14_N</t>
  </si>
  <si>
    <t>IOA_D5_N</t>
  </si>
  <si>
    <t>IO_B5A_RX_R8_V16_P</t>
  </si>
  <si>
    <t>IO_B13_L11_SRCC_AA14_P</t>
  </si>
  <si>
    <t>IOA_D6_P</t>
  </si>
  <si>
    <t>IO_B5A_RX_R8_V15_N</t>
  </si>
  <si>
    <t>IO_B13_L11_SRCC_AA15_N</t>
  </si>
  <si>
    <t>IOA_D7_N</t>
  </si>
  <si>
    <t>IO_B5B_CLK5_R21_W21_P</t>
  </si>
  <si>
    <t>IO_B13_L24_W17_P</t>
  </si>
  <si>
    <t>IO_B5B_CLK5_R21_W20_N</t>
  </si>
  <si>
    <t>IO_B13_L24_Y17_N</t>
  </si>
  <si>
    <t>IO_B3B_RX_B27_T11_P</t>
  </si>
  <si>
    <t>IO_B13_L3_W12_P</t>
  </si>
  <si>
    <t>IOA_D8_P</t>
  </si>
  <si>
    <t>IO_B3B_RX_B27_U11_N</t>
  </si>
  <si>
    <t>IO_B13_L3_W13_N</t>
  </si>
  <si>
    <t>IOA_D9_N</t>
  </si>
  <si>
    <t>IO_B3A_RX_B1_W8_P</t>
  </si>
  <si>
    <t>IO_B13_L4_V11_P</t>
  </si>
  <si>
    <t>IOB_D0_P</t>
  </si>
  <si>
    <t>IO_B3A_RX_B1_Y8_N</t>
  </si>
  <si>
    <t>IO_B13_L4_W11_N</t>
  </si>
  <si>
    <t>IOB_D1_N</t>
  </si>
  <si>
    <t>IO_B3A_RX_B3_U9_P</t>
  </si>
  <si>
    <t>IO_B13_L10_Y12_P</t>
  </si>
  <si>
    <t>IOB_D2_P</t>
  </si>
  <si>
    <t>IO_B3A_RX_B3_T8_N</t>
  </si>
  <si>
    <t>IO_B13_L10_Y13_N</t>
  </si>
  <si>
    <t>IOB_D3_N</t>
  </si>
  <si>
    <t>IO_B3A_RX_B5_U10_P</t>
  </si>
  <si>
    <t>IO_B13_L16_AB18_P</t>
  </si>
  <si>
    <t>IOB_D4_P</t>
  </si>
  <si>
    <t>IO_B3A_RX_B5_V10_N</t>
  </si>
  <si>
    <t>IO_B13_L16_AB19_N</t>
  </si>
  <si>
    <t>IOB_D5_N</t>
  </si>
  <si>
    <t>IO_B3A_RX_B7_Y11_P</t>
  </si>
  <si>
    <t>IO_B13_L20_U19_P</t>
  </si>
  <si>
    <t>IOB_D6_P</t>
  </si>
  <si>
    <t>IO_B3A_RX_B7_AA11_N</t>
  </si>
  <si>
    <t>IO_B13_L20_V19_N</t>
  </si>
  <si>
    <t>IOB_D7_N</t>
  </si>
  <si>
    <t>IO_B8A_TX_T4_E8_P</t>
  </si>
  <si>
    <t>IO_B13_0_T16</t>
  </si>
  <si>
    <t>IOB_D18_SC2_DIP3#</t>
  </si>
  <si>
    <t>IO_B8A_TX_T4_D8_N</t>
  </si>
  <si>
    <t>IO_B13_25_U16</t>
  </si>
  <si>
    <t>IOB_D19_SC3_DIP4#</t>
  </si>
  <si>
    <t>HPS_GPIO61_CANRX</t>
  </si>
  <si>
    <t>IOB_D20_SC4_BTN0#</t>
  </si>
  <si>
    <t>HPS_GPIO62_CANTX_CS1</t>
  </si>
  <si>
    <t>IOB_D21_SC5_BTN1#</t>
  </si>
  <si>
    <t>HPS_GPIO63_UART1RX</t>
  </si>
  <si>
    <t>IOB_D22_SC6_BTN2#</t>
  </si>
  <si>
    <t>IOB_D23_SC7_BTN3#</t>
  </si>
  <si>
    <t>HPS_GPIO57_CLK</t>
  </si>
  <si>
    <t>PS_MIO50</t>
  </si>
  <si>
    <t>SIO2_CPULED#</t>
  </si>
  <si>
    <t>HPS_GPIO58_MOSI</t>
  </si>
  <si>
    <t>PS_MIO51</t>
  </si>
  <si>
    <t>SIO3_SDIOSEL#</t>
  </si>
  <si>
    <t>VMON_1V1</t>
  </si>
  <si>
    <t>VMON_A102</t>
  </si>
  <si>
    <t>HPS_GPIO59_MISO</t>
  </si>
  <si>
    <t>PS_MIO48</t>
  </si>
  <si>
    <t>SIO0_SCINT#</t>
  </si>
  <si>
    <t>PS_MIO49</t>
  </si>
  <si>
    <t>SIO1_SDCD#</t>
  </si>
  <si>
    <t>CLK_EXT</t>
  </si>
  <si>
    <t>RSVD_CLKEXT</t>
  </si>
  <si>
    <t>BOOT_MODE1</t>
  </si>
  <si>
    <t>RSVD_BOOTMODE1</t>
  </si>
  <si>
    <t>HPS_RST#</t>
  </si>
  <si>
    <t>BOOT_MODE0</t>
  </si>
  <si>
    <t>BOOTMODE0</t>
  </si>
  <si>
    <t>USBMOD_CPEN</t>
  </si>
  <si>
    <t>VCC_BAT</t>
  </si>
  <si>
    <t>IO_B4A_RX_B78_AF25_P</t>
  </si>
  <si>
    <t>IO_B34_L11_SRCC_K4_P</t>
  </si>
  <si>
    <t>IOE_D0_LED0#</t>
  </si>
  <si>
    <t>IO_B4A_RX_B78_AG25_N</t>
  </si>
  <si>
    <t>IO_B34_L11_SRCC_K3_N</t>
  </si>
  <si>
    <t>IOE_D1_LED1#</t>
  </si>
  <si>
    <t>IO_B4A_RX_B75_AC22_P</t>
  </si>
  <si>
    <t>IO_B34_L2_J7_P</t>
  </si>
  <si>
    <t>IOE_D2_LED2#</t>
  </si>
  <si>
    <t>IO_B4A_RX_B75_AC23_N</t>
  </si>
  <si>
    <t>IO_B34_L2_J6_N</t>
  </si>
  <si>
    <t>IOE_D3_LED3#</t>
  </si>
  <si>
    <t>MGT_TX5_P</t>
  </si>
  <si>
    <t>MGT_TX5_N</t>
  </si>
  <si>
    <t>MGT_TX4_P</t>
  </si>
  <si>
    <t>MGT_TX4_N</t>
  </si>
  <si>
    <t>IOC_D0_P</t>
  </si>
  <si>
    <t>IO_B34_L3_L7_N</t>
  </si>
  <si>
    <t>IOC_D1_N</t>
  </si>
  <si>
    <t>IO_B34_L5_N8_P</t>
  </si>
  <si>
    <t>IOC_D4_P</t>
  </si>
  <si>
    <t>IO_B34_L5_P8_N</t>
  </si>
  <si>
    <t>IOC_D5_N</t>
  </si>
  <si>
    <t>IO_B4A_CLK3_B55_Y15_P</t>
  </si>
  <si>
    <t>IO_B34_L12_MRCC_L5_P</t>
  </si>
  <si>
    <t>IO_B4A_CLK3_B55_AA15_N</t>
  </si>
  <si>
    <t>IO_B34_L12_MRCC_L4_N</t>
  </si>
  <si>
    <t>IO_B4A_TX_B80_AF27_P</t>
  </si>
  <si>
    <t>IO_B34_L9_J3_P</t>
  </si>
  <si>
    <t>IOD_D0_P</t>
  </si>
  <si>
    <t>IO_B4A_TX_B80_AF28_N</t>
  </si>
  <si>
    <t>IO_B34_L9_K2_N</t>
  </si>
  <si>
    <t>IOD_D1_N</t>
  </si>
  <si>
    <t>VCC_IO_B4</t>
  </si>
  <si>
    <t>VCC_IO_B16</t>
  </si>
  <si>
    <t>VCC_IO_B34</t>
  </si>
  <si>
    <t>IO_B4A_TX_B77_AG28_P</t>
  </si>
  <si>
    <t>IOD_D4_P</t>
  </si>
  <si>
    <t>IO_B4A_TX_B77_AH27_N</t>
  </si>
  <si>
    <t>IO_B34_L1_K8_N</t>
  </si>
  <si>
    <t>IOD_D5_N</t>
  </si>
  <si>
    <t>IO_B4A_TX_B72_AG24_P</t>
  </si>
  <si>
    <t>IO_B34_L15_M2_P</t>
  </si>
  <si>
    <t>IO_B4A_TX_B72_AH24_N</t>
  </si>
  <si>
    <t>IO_B34_L15_M1_N</t>
  </si>
  <si>
    <t>IO_B34_L17_R3_P</t>
  </si>
  <si>
    <t>IO_B34_L17_R2_N</t>
  </si>
  <si>
    <t>IO_B34_L18_P3_P</t>
  </si>
  <si>
    <t>IO_B34_L18_P2_N</t>
  </si>
  <si>
    <t>VCC_IO_B3</t>
  </si>
  <si>
    <t>IO_B34_L21_N4_P</t>
  </si>
  <si>
    <t>IO_B34_L21_N3_N</t>
  </si>
  <si>
    <t>IO_B34_L22_M4_P</t>
  </si>
  <si>
    <t>IO_B34_L22_M3_N</t>
  </si>
  <si>
    <t>IO_B4A_TX_B48_AG11_P</t>
  </si>
  <si>
    <t>IO_B4A_TX_B48_AH11_N</t>
  </si>
  <si>
    <t>IO_B4A_TX_B45_AG10_P</t>
  </si>
  <si>
    <t>IO_B4A_TX_B45_AH9_N</t>
  </si>
  <si>
    <t>IO_B4A_TX_B44_AG9_P</t>
  </si>
  <si>
    <t>IO_B4A_TX_B44_AH8_N</t>
  </si>
  <si>
    <t>IO_B4A_TX_B41_AG8_P</t>
  </si>
  <si>
    <t>IO_B4A_TX_B41_AH7_N</t>
  </si>
  <si>
    <t>IO_B3B_TX_B40_AH6_P</t>
  </si>
  <si>
    <t>IO_B3B_TX_B40_AH5_N</t>
  </si>
  <si>
    <t>VCC_IO_B2</t>
  </si>
  <si>
    <t>VCC_IO_B15</t>
  </si>
  <si>
    <t>VCC_IO_B35</t>
  </si>
  <si>
    <t>IO_B3B_TX_B37_AG5_P</t>
  </si>
  <si>
    <t>IO_B3B_TX_B37_AH4_N</t>
  </si>
  <si>
    <t>IO_B3B_TX_B36_AH3_P</t>
  </si>
  <si>
    <t>IO_B35_L19_H4_P</t>
  </si>
  <si>
    <t>IO_B3B_TX_B36_AH2_N</t>
  </si>
  <si>
    <t>IO_B3B_TX_B33_AF7_P</t>
  </si>
  <si>
    <t>IO_B3B_TX_B33_AG6_N</t>
  </si>
  <si>
    <t>VMON_B167</t>
  </si>
  <si>
    <t>VMON_DDR3</t>
  </si>
  <si>
    <t>VMON_1V35</t>
  </si>
  <si>
    <t>VMON_B8</t>
  </si>
  <si>
    <t>MGT_RX5_P</t>
  </si>
  <si>
    <t>MGT_RX5_N</t>
  </si>
  <si>
    <t>MGT_RX4_P</t>
  </si>
  <si>
    <t>MGT_RX4_N</t>
  </si>
  <si>
    <t>IO_B34_L4_L6_P</t>
  </si>
  <si>
    <t>IOC_D2_P</t>
  </si>
  <si>
    <t>IO_B34_L4_M6_N</t>
  </si>
  <si>
    <t>IOC_D3_N</t>
  </si>
  <si>
    <t>VCC_OUT_B</t>
  </si>
  <si>
    <t>IO_B34_L6_M8_P</t>
  </si>
  <si>
    <t>IOC_D6_P</t>
  </si>
  <si>
    <t>IOC_D7_N</t>
  </si>
  <si>
    <t>IO_B4A_RX_B74_AE24_P</t>
  </si>
  <si>
    <t>IO_B34_L8_J2_P</t>
  </si>
  <si>
    <t>IOD_D2_P</t>
  </si>
  <si>
    <t>IO_B4A_RX_B74_AE23_N</t>
  </si>
  <si>
    <t>IO_B34_L8_J1_N</t>
  </si>
  <si>
    <t>IOD_D3_N</t>
  </si>
  <si>
    <t>IO_B4A_RX_B70_AG23_P</t>
  </si>
  <si>
    <t>IO_B34_L10_L2_P</t>
  </si>
  <si>
    <t>IOD_D6_P</t>
  </si>
  <si>
    <t>IO_B4A_RX_B70_AF23_N</t>
  </si>
  <si>
    <t>IO_B34_L10_L1_N</t>
  </si>
  <si>
    <t>IOD_D7_N</t>
  </si>
  <si>
    <t>IO_B4A_RX_B67_AD23_P</t>
  </si>
  <si>
    <t>IO_B34_L7_J5_P</t>
  </si>
  <si>
    <t>IO_B4A_RX_B67_AE22_N</t>
  </si>
  <si>
    <t>IO_B34_L7_K5_N</t>
  </si>
  <si>
    <t>IO_B4A_CLK2_B47_Y13_P</t>
  </si>
  <si>
    <t>IO_B34_L13_MRCC_T2_P</t>
  </si>
  <si>
    <t>IO_B4A_CLK2_B47_AA13_N</t>
  </si>
  <si>
    <t>IO_B34_L13_MRCC_T1_N</t>
  </si>
  <si>
    <t>IO_B4A_RX_B66_AF22_P</t>
  </si>
  <si>
    <t>IO_B34_L16_N1_P</t>
  </si>
  <si>
    <t>IO_B4A_RX_B66_AF21_N</t>
  </si>
  <si>
    <t>IO_B34_L16_P1_N</t>
  </si>
  <si>
    <t>IO_B4A_RX_B62_AE20_P</t>
  </si>
  <si>
    <t>IO_B34_L19_N6_P</t>
  </si>
  <si>
    <t>IO_B4A_RX_B62_AD20_N</t>
  </si>
  <si>
    <t>IO_B4A_RX_B59_AA19_P</t>
  </si>
  <si>
    <t>IO_B34_L20_P6_P</t>
  </si>
  <si>
    <t>IO_B4A_RX_B59_AA18_N</t>
  </si>
  <si>
    <t>IO_B34_L20_P5_N</t>
  </si>
  <si>
    <t>IO_B4A_RX_B58_AE19_P</t>
  </si>
  <si>
    <t>IO_B4A_RX_B58_AD19_N</t>
  </si>
  <si>
    <t>IO_B4A_RX_B54_AD17_P</t>
  </si>
  <si>
    <t>IO_B4A_RX_B54_AE17_N</t>
  </si>
  <si>
    <t>IO_B4A_RX_B51_W14_P</t>
  </si>
  <si>
    <t>IO_B4A_RX_B51_V13_N</t>
  </si>
  <si>
    <t>IO_B4A_RX_B50_AF17_P</t>
  </si>
  <si>
    <t>IO_B35_L4_G8_P</t>
  </si>
  <si>
    <t>IO_B4A_RX_B50_AG16_N</t>
  </si>
  <si>
    <t>IO_B35_L4_G7_N</t>
  </si>
  <si>
    <t>IO_B4A_RX_B46_AF15_P</t>
  </si>
  <si>
    <t>IO_B35_L6_G6_P</t>
  </si>
  <si>
    <t>IO_B4A_RX_B46_AE15_N</t>
  </si>
  <si>
    <t>IO_B4A_RX_B43_U14_P</t>
  </si>
  <si>
    <t>IO_B4A_RX_B43_U13_N</t>
  </si>
  <si>
    <t>IO_B4A_RX_B42_AG13_P</t>
  </si>
  <si>
    <t>IO_B4A_RX_B42_AF13_N</t>
  </si>
  <si>
    <t>IO_B3B_RX_B38_AE12_P</t>
  </si>
  <si>
    <t>IO_B3B_RX_B38_AD12_N</t>
  </si>
  <si>
    <t>IO_B3B_RX_B35_T13_P</t>
  </si>
  <si>
    <t>IO_B3B_RX_B35_T12_N</t>
  </si>
  <si>
    <t>IO_B3B_RX_B34_AF11_P</t>
  </si>
  <si>
    <t>IO_B35_L16_D1_P</t>
  </si>
  <si>
    <t>IO_B3B_RX_B34_AF10_N</t>
  </si>
  <si>
    <t>IO_B35_L16_C1_N</t>
  </si>
  <si>
    <t>IO_B3B_CLK1_B39_V12_P</t>
  </si>
  <si>
    <t>IO_B3B_CLK1_B39_W12_N</t>
  </si>
  <si>
    <t>IO_B3B_RX_B30_AD11_P</t>
  </si>
  <si>
    <t>IO_B3B_RX_B30_AE11_N</t>
  </si>
  <si>
    <t>IO_B3B_RX_B26_AD10_P</t>
  </si>
  <si>
    <t>IO_B3B_RX_B26_AE9_N</t>
  </si>
  <si>
    <t>VMON_VTT</t>
  </si>
  <si>
    <t>VMON_B168</t>
  </si>
  <si>
    <t>28 May 2013</t>
  </si>
  <si>
    <t>R2</t>
  </si>
  <si>
    <t>F484</t>
  </si>
  <si>
    <t>FBG676/FFG676</t>
  </si>
  <si>
    <t>U672</t>
  </si>
  <si>
    <t>CLG485/SBG485</t>
  </si>
  <si>
    <t/>
  </si>
  <si>
    <t>IO_B35_L12_MRCC_D5_P</t>
  </si>
  <si>
    <t>IO_B35_L12_MRCC_C4_N</t>
  </si>
  <si>
    <t>IO_B35_L13_MRCC_B4_P</t>
  </si>
  <si>
    <t>IO_B35_L13_MRCC_B3_N</t>
  </si>
  <si>
    <t>IO_B35_L11_SRCC_C6_P</t>
  </si>
  <si>
    <t>IO_B35_L11_SRCC_C5_N</t>
  </si>
  <si>
    <t>ETH1B_RX_N</t>
  </si>
  <si>
    <t>ETH1B_RX_P</t>
  </si>
  <si>
    <t>ETH1B_TX_N</t>
  </si>
  <si>
    <t>ETH1B_TX_P</t>
  </si>
  <si>
    <t>ETH1A_RX_N</t>
  </si>
  <si>
    <t>ETH1A_RX_P</t>
  </si>
  <si>
    <t>ETH1A_TX_N</t>
  </si>
  <si>
    <t>ETH1A_TX_P</t>
  </si>
  <si>
    <t>IO_B13_L13_MRCC_AD20_P</t>
  </si>
  <si>
    <t>IO_B13_L13_MRCC_AD21_N</t>
  </si>
  <si>
    <t>IO_B13_L14_SRCC_AC21_P</t>
  </si>
  <si>
    <t>IO_B13_L14_SRCC_AC22_N</t>
  </si>
  <si>
    <t>IO_B13_L15_AF19_P</t>
  </si>
  <si>
    <t>IO_B13_L15_AF20_N</t>
  </si>
  <si>
    <t>IO_B13_L16_AE20_P</t>
  </si>
  <si>
    <t>IO_B13_L16_AE21_N</t>
  </si>
  <si>
    <t>IO_B13_L17_AD18_P</t>
  </si>
  <si>
    <t>IO_B13_L17_AD19_N</t>
  </si>
  <si>
    <t>IO_B13_L18_AE18_P</t>
  </si>
  <si>
    <t>IO_B13_L18_AF18_N</t>
  </si>
  <si>
    <t>IO_B13_L19_W20_P</t>
  </si>
  <si>
    <t>IO_B13_L19_VREF_Y20_N</t>
  </si>
  <si>
    <t>IO_B13_L20_AA20_P</t>
  </si>
  <si>
    <t>IO_B13_L20_AB20_N</t>
  </si>
  <si>
    <t>IO_B13_L21_AC18_P</t>
  </si>
  <si>
    <t>IO_B13_L21_AC19_N</t>
  </si>
  <si>
    <t>IO_B13_L22_AA19_P</t>
  </si>
  <si>
    <t>IO_B13_L22_AB19_N</t>
  </si>
  <si>
    <t>IO_B13_L23_W18_P</t>
  </si>
  <si>
    <t>IO_B13_L23_W19_N</t>
  </si>
  <si>
    <t>IO_B13_L24_Y18_P</t>
  </si>
  <si>
    <t>IO_B13_L24_AA18_N</t>
  </si>
  <si>
    <t>IO_B12_L1_Y12_P</t>
  </si>
  <si>
    <t>IO_B12_L1_Y11_N</t>
  </si>
  <si>
    <t>IO_B12_L3_Y10_P</t>
  </si>
  <si>
    <t>IO_B12_L3_AA10_N</t>
  </si>
  <si>
    <t>VCC_CFG_MIO_B12</t>
  </si>
  <si>
    <t>VCC_IO_B33</t>
  </si>
  <si>
    <t>IO_B33_L1_G4_P</t>
  </si>
  <si>
    <t>IO_B33_L1_F4_N</t>
  </si>
  <si>
    <t>IO_B33_L2_D4_P</t>
  </si>
  <si>
    <t>IO_B33_L2_D3_N</t>
  </si>
  <si>
    <t>IO_B33_L3_G2_P</t>
  </si>
  <si>
    <t>IO_B33_L3_F2_N</t>
  </si>
  <si>
    <t>IO_B33_L4_D1_P</t>
  </si>
  <si>
    <t>IO_B33_L4_C1_N</t>
  </si>
  <si>
    <t>IO_B33_L5_E2_P</t>
  </si>
  <si>
    <t>IO_B33_L5_E1_N</t>
  </si>
  <si>
    <t>IO_B33_L6_F3_P</t>
  </si>
  <si>
    <t>IO_B33_L7_J1_P</t>
  </si>
  <si>
    <t>IO_B33_L7_H1_N</t>
  </si>
  <si>
    <t>IO_B33_L8_H4_P</t>
  </si>
  <si>
    <t>IO_B33_L8_H3_N</t>
  </si>
  <si>
    <t>IO_B33_L10_H2_P</t>
  </si>
  <si>
    <t>IO_B33_L10_G1_N</t>
  </si>
  <si>
    <t>IO_B33_L11_SRCC_L3_P</t>
  </si>
  <si>
    <t>IO_B33_L11_SRCC_K3_N</t>
  </si>
  <si>
    <t>IO_B33_L12_MRCC_J4_P</t>
  </si>
  <si>
    <t>IO_B33_L12_MRCC_J3_N</t>
  </si>
  <si>
    <t>IO_B33_L13_MRCC_M6_P</t>
  </si>
  <si>
    <t>IO_B33_L13_MRCC_M5_N</t>
  </si>
  <si>
    <t>IO_B34_L7_F5_P</t>
  </si>
  <si>
    <t>IO_B34_L7_E5_N</t>
  </si>
  <si>
    <t>IO_B34_L8_D9_P</t>
  </si>
  <si>
    <t>IO_B34_L8_D8_N</t>
  </si>
  <si>
    <t>IO_B34_L9_F9_P</t>
  </si>
  <si>
    <t>IO_B34_L9_E8_N</t>
  </si>
  <si>
    <t>IO_B34_L10_E6_P</t>
  </si>
  <si>
    <t>IO_B34_L10_D5_N</t>
  </si>
  <si>
    <t>IO_B34_L11_SRCC_F8_P</t>
  </si>
  <si>
    <t>IO_B34_L11_SRCC_E7_N</t>
  </si>
  <si>
    <t>IO_B34_L12_MRCC_G7_P</t>
  </si>
  <si>
    <t>IO_B34_L12_MRCC_F7_N</t>
  </si>
  <si>
    <t>IO_B34_L13_MRCC_C8_P</t>
  </si>
  <si>
    <t>IO_B34_L13_MRCC_C7_N</t>
  </si>
  <si>
    <t>IO_B34_L14_SRCC_D6_P</t>
  </si>
  <si>
    <t>IO_B34_L14_SRCC_C6_N</t>
  </si>
  <si>
    <t>IO_B34_L15_C9_P</t>
  </si>
  <si>
    <t>IO_B34_L15_B9_N</t>
  </si>
  <si>
    <t>IO_B34_L16_B10_P</t>
  </si>
  <si>
    <t>IO_B34_L16_A10_N</t>
  </si>
  <si>
    <t>IO_B34_L17_A9_P</t>
  </si>
  <si>
    <t>IO_B34_L17_A8_N</t>
  </si>
  <si>
    <t>IO_B34_L18_B7_P</t>
  </si>
  <si>
    <t>IO_B34_L18_A7_N</t>
  </si>
  <si>
    <t>IO_B34_L19_C4_P</t>
  </si>
  <si>
    <t>IO_B34_L19_VREF_C3_N</t>
  </si>
  <si>
    <t>IO_B34_L20_B5_P</t>
  </si>
  <si>
    <t>IO_B34_L20_B4_N</t>
  </si>
  <si>
    <t>IO_B34_L21_B6_P</t>
  </si>
  <si>
    <t>IO_B34_L21_A5_N</t>
  </si>
  <si>
    <t>IO_B34_L22_A4_P</t>
  </si>
  <si>
    <t>IO_B34_L22_A3_N</t>
  </si>
  <si>
    <t>IO_B34_L23_C2_P</t>
  </si>
  <si>
    <t>IO_B34_L23_B1_N</t>
  </si>
  <si>
    <t>IO_B34_L24_B2_P</t>
  </si>
  <si>
    <t>IO_B34_L24_A2_N</t>
  </si>
  <si>
    <t>IO_B33_L9_K2_P</t>
  </si>
  <si>
    <t>IO_B33_L9_K1_N</t>
  </si>
  <si>
    <t>IO_B33_L15_N3_P</t>
  </si>
  <si>
    <t>IO_B33_L15_N2_N</t>
  </si>
  <si>
    <t>IO_B33_L16_M2_P</t>
  </si>
  <si>
    <t>IO_B33_L16_L2_N</t>
  </si>
  <si>
    <t>IO_B33_L17_N4_P</t>
  </si>
  <si>
    <t>IO_B33_L17_M4_N</t>
  </si>
  <si>
    <t>IO_B33_L18_N1_P</t>
  </si>
  <si>
    <t>IO_B33_L18_M1_N</t>
  </si>
  <si>
    <t>USB_D_P</t>
  </si>
  <si>
    <t>USB_D_N</t>
  </si>
  <si>
    <t>VCC_IO_B3B_B4A</t>
  </si>
  <si>
    <t>HPS_GPIO64_UART1TX</t>
  </si>
  <si>
    <t>IO_B34_L6_VREF_M7_N</t>
  </si>
  <si>
    <t>IO_B35_L24_AD15_H1_P</t>
  </si>
  <si>
    <t>IO_B35_L24_AD15_G1_N</t>
  </si>
  <si>
    <t>IO_B35_L20_AD6_G4_P</t>
  </si>
  <si>
    <t>IO_B35_L20_AD6_F4_N</t>
  </si>
  <si>
    <t>IO_B35_L1_AD0_F7_P</t>
  </si>
  <si>
    <t>IO_B35_L1_AD0_E7_N</t>
  </si>
  <si>
    <t>IO_B35_L5_AD9_F5_P</t>
  </si>
  <si>
    <t>IO_B35_L5_AD9_E5_N</t>
  </si>
  <si>
    <t>IO_B35_L21_AD14_E4_P</t>
  </si>
  <si>
    <t>IO_B35_L21_AD14_E3_N</t>
  </si>
  <si>
    <t>IO_B35_L3_AD1_E8_P</t>
  </si>
  <si>
    <t>IO_B35_L3_AD1_D8_N</t>
  </si>
  <si>
    <t>IO_B35_L14_AD4_SRCC_D3_P</t>
  </si>
  <si>
    <t>IO_B35_L14_AD4_SRCC_C3_N</t>
  </si>
  <si>
    <t>IO_B35_L17_AD5_E2_P</t>
  </si>
  <si>
    <t>IO_B35_L17_AD5_D2_N</t>
  </si>
  <si>
    <t>IO_B35_L2_AD8_D7_P</t>
  </si>
  <si>
    <t>IO_B35_L2_AD8_D6_N</t>
  </si>
  <si>
    <t>IO_B35_L7_AD2_C8_P</t>
  </si>
  <si>
    <t>IO_B35_L7_AD2_B8_N</t>
  </si>
  <si>
    <t>IO_B35_L8_AD10_B7_P</t>
  </si>
  <si>
    <t>IO_B35_L8_AD10_B6_N</t>
  </si>
  <si>
    <t>IO_B35_L18_AD13_B2_P</t>
  </si>
  <si>
    <t>IO_B35_L18_AD13_B1_N</t>
  </si>
  <si>
    <t>IO_B35_L15_AD12_A2_P</t>
  </si>
  <si>
    <t>IO_B35_L15_AD12_A1_N</t>
  </si>
  <si>
    <t>IO_B35_L22_AD7_G3_P</t>
  </si>
  <si>
    <t>IO_B35_L22_AD7_G2_N</t>
  </si>
  <si>
    <t>IO_B33_L20_K5_P</t>
  </si>
  <si>
    <t>IO_B33_L20_J5_N</t>
  </si>
  <si>
    <t>IO_B34_L23_R5_P</t>
  </si>
  <si>
    <t>IO_B34_L23_R4_N</t>
  </si>
  <si>
    <t>IO_B34_L24_P7_P</t>
  </si>
  <si>
    <t>IO_B34_L24_R7_N</t>
  </si>
  <si>
    <t>IO_B35_L19_VREF_H3_N</t>
  </si>
  <si>
    <t>IO_B34_L19_VREF_N5_N</t>
  </si>
  <si>
    <t>IO_B35_L9_AD3_A7_P</t>
  </si>
  <si>
    <t>IO_B35_L9_AD3_A6_N</t>
  </si>
  <si>
    <t>IO_B35_L10_AD11_A5_P</t>
  </si>
  <si>
    <t>IO_B35_L10_AD11_A4_N</t>
  </si>
  <si>
    <t>IO_B35_L6_VREF_F6_N</t>
  </si>
  <si>
    <t>IO_B33_L6_VREF_E3_N</t>
  </si>
  <si>
    <t>Signal Name (*2,3,4)</t>
  </si>
  <si>
    <t>IO_B3B_CLK0_B31_V11_B32_AF5_P (*5)</t>
  </si>
  <si>
    <t>IO_B3B_CLK0_B31_W11_B32_AF6_N (*5)</t>
  </si>
  <si>
    <t>VCC_USBMOD</t>
  </si>
  <si>
    <t>Advance</t>
  </si>
  <si>
    <t>F896</t>
  </si>
  <si>
    <t>Connector C            Pin Numbers</t>
  </si>
  <si>
    <t>REFCLK_P</t>
  </si>
  <si>
    <t>REFCLK_N</t>
  </si>
  <si>
    <t>Master Pinout for Enclustra Mercury Modules: 168-pin Hirose FX10 Connector C</t>
  </si>
  <si>
    <t>IO_B4A_TX_B41_AG17_N</t>
  </si>
  <si>
    <t>IO_B8A_CLK6_T9_K14_P</t>
  </si>
  <si>
    <t>IO_B8A_CLK6_T9_J14_N</t>
  </si>
  <si>
    <t>IO_B8A_RX_T3_C13_P</t>
  </si>
  <si>
    <t>IO_B8A_RX_T3_B12_N</t>
  </si>
  <si>
    <t>IO_B8A_TX_T2_B13_P</t>
  </si>
  <si>
    <t>IO_B8A_TX_T2_A13_N</t>
  </si>
  <si>
    <t>IO_B8A_TX_T4_A11_P</t>
  </si>
  <si>
    <t>IO_B8A_TX_T4_A10_N</t>
  </si>
  <si>
    <t>IO_B8A_TX_T6_C12_P</t>
  </si>
  <si>
    <t>IO_B8A_TX_T6_B11_N</t>
  </si>
  <si>
    <t>IO_B8A_TX_T8_A9_P</t>
  </si>
  <si>
    <t>IO_B8A_TX_T8_A8_N</t>
  </si>
  <si>
    <t>IO_B8A_TX_T10_C7_P</t>
  </si>
  <si>
    <t>IO_B8A_TX_T10_B7_N</t>
  </si>
  <si>
    <t>IO_B8A_TX_T12_C8_P</t>
  </si>
  <si>
    <t>IO_B8A_TX_T12_B8_N</t>
  </si>
  <si>
    <t>IO_B8A_TX_T14_C10_P</t>
  </si>
  <si>
    <t>IO_B8A_TX_T14_C9_N</t>
  </si>
  <si>
    <t>IO_B8A_TX_T16_A6_P</t>
  </si>
  <si>
    <t>IO_B8A_TX_T16_A5_N</t>
  </si>
  <si>
    <t>IO_B8A_TX_T18_A4_P</t>
  </si>
  <si>
    <t>IO_B8A_TX_T18_A3_N</t>
  </si>
  <si>
    <t>IO_B8A_TX_T20_D6_P</t>
  </si>
  <si>
    <t>IO_B8A_TX_T20_C5_N</t>
  </si>
  <si>
    <t>IO_B8A_TX_T22_D5_P</t>
  </si>
  <si>
    <t>IO_B8A_TX_T22_C4_N</t>
  </si>
  <si>
    <t>IO_B8A_TX_T24_E8_P</t>
  </si>
  <si>
    <t>IO_B8A_TX_T24_D7_N</t>
  </si>
  <si>
    <t>IO_B8A_TX_T26_B2_P</t>
  </si>
  <si>
    <t>IO_B8A_TX_T26_B1_N</t>
  </si>
  <si>
    <t>IO_B8A_TX_T28_C3_P</t>
  </si>
  <si>
    <t>IO_B8A_TX_T28_B3_N</t>
  </si>
  <si>
    <t>IO_B8A_TX_T30_D2_P</t>
  </si>
  <si>
    <t>IO_B8A_TX_T30_C2_N</t>
  </si>
  <si>
    <t>IO_B8A_TX_T32_E4_P</t>
  </si>
  <si>
    <t>IO_B8A_TX_T32_D4_N</t>
  </si>
  <si>
    <t>IO_B8A_TX_T34_E3_P</t>
  </si>
  <si>
    <t>IO_B8A_TX_T34_E2_N</t>
  </si>
  <si>
    <t>IO_B8A_RX_T5_F15_P</t>
  </si>
  <si>
    <t>IO_B8A_RX_T5_F14_N</t>
  </si>
  <si>
    <t>IO_B8A_RX_T7_D11_P</t>
  </si>
  <si>
    <t>IO_B8A_RX_T7_D10_N</t>
  </si>
  <si>
    <t>IO_B8A_RX_T11_E9_P</t>
  </si>
  <si>
    <t>IO_B8A_RX_T11_D9_N</t>
  </si>
  <si>
    <t>IO_B8A_RX_T13_H14_P</t>
  </si>
  <si>
    <t>IO_B8A_RX_T13_G13_N</t>
  </si>
  <si>
    <t>IO_B8A_RX_T15_F13_P</t>
  </si>
  <si>
    <t>IO_B8A_RX_T15_E13_N</t>
  </si>
  <si>
    <t>IO_B8A_RX_T17_H8_P</t>
  </si>
  <si>
    <t>IO_B8A_RX_T17_G8_N</t>
  </si>
  <si>
    <t>IO_B8A_RX_T19_E12_P</t>
  </si>
  <si>
    <t>IO_B8A_RX_T19_D12_N</t>
  </si>
  <si>
    <t>IO_B8A_RX_T21_H13_P</t>
  </si>
  <si>
    <t>IO_B8A_RX_T21_H12_N</t>
  </si>
  <si>
    <t>IO_B8A_RX_T23_F11_P</t>
  </si>
  <si>
    <t>IO_B8A_RX_T23_E11_N</t>
  </si>
  <si>
    <t>IO_B8A_RX_T25_J7_P</t>
  </si>
  <si>
    <t>IO_B8A_RX_T25_H7_N</t>
  </si>
  <si>
    <t>IO_B8A_RX_T27_B6_P</t>
  </si>
  <si>
    <t>IO_B8A_RX_T27_B5_N</t>
  </si>
  <si>
    <t>IO_B8A_RX_T29_K12_P</t>
  </si>
  <si>
    <t>IO_B8A_RX_T29_J12_N</t>
  </si>
  <si>
    <t>IO_B8A_RX_T31_G12_P</t>
  </si>
  <si>
    <t>IO_B8A_RX_T31_G11_N</t>
  </si>
  <si>
    <t>IO_B8A_RX_T33_K7_P</t>
  </si>
  <si>
    <t>IO_B8A_RX_T33_K8_N</t>
  </si>
  <si>
    <t>IO_B8A_RX_T35_G10_P</t>
  </si>
  <si>
    <t>IO_B8A_RX_T35_F10_N</t>
  </si>
  <si>
    <t>IO_B8A_RX_T37_J10_P</t>
  </si>
  <si>
    <t>IO_B8A_RX_T37_J9_N</t>
  </si>
  <si>
    <t>IO_B8A_RX_T39_F9_P</t>
  </si>
  <si>
    <t>IO_B8A_RX_T39_F8_N</t>
  </si>
  <si>
    <t>IO_B4A_CLK3_B55_AC18_P</t>
  </si>
  <si>
    <t>IO_B4A_CLK3_B55_AD17_N</t>
  </si>
  <si>
    <t>IO_B4A_CLK2_B47_AA16_P</t>
  </si>
  <si>
    <t>IO_B4A_CLK2_B47_AB17_N</t>
  </si>
  <si>
    <t>VCC_CFG_HPS</t>
  </si>
  <si>
    <t>VCC_IO_B8A</t>
  </si>
  <si>
    <t>IO_B4A_RX_B42_AE17_P</t>
  </si>
  <si>
    <t>IO_B4A_RX_B42_AF18_N</t>
  </si>
  <si>
    <t>IO_B4A_RX_B43_V16_P</t>
  </si>
  <si>
    <t>IO_B4A_RX_B43_W16_N</t>
  </si>
  <si>
    <t>IO_B4A_RX_B50_AJ17_P</t>
  </si>
  <si>
    <t>IO_B4A_RX_B50_AK18_N</t>
  </si>
  <si>
    <t>IO_B4A_RX_B51_V17_P</t>
  </si>
  <si>
    <t>IO_B4A_RX_B51_W17_N</t>
  </si>
  <si>
    <t>IO_B4A_RX_B54_AF19_P</t>
  </si>
  <si>
    <t>IO_B4A_RX_B54_AG20_N</t>
  </si>
  <si>
    <t>IO_B4A_RX_B58_AE18_P</t>
  </si>
  <si>
    <t>IO_B4A_RX_B58_AE19_N</t>
  </si>
  <si>
    <t>IO_B4A_RX_B59_Y17_P</t>
  </si>
  <si>
    <t>IO_B4A_RX_B62_AF20_P</t>
  </si>
  <si>
    <t>IO_B4A_RX_B62_AF21_N</t>
  </si>
  <si>
    <t>IO_B4A_RX_B63_Y18_P</t>
  </si>
  <si>
    <t>IO_B4A_RX_B63_AA19_N</t>
  </si>
  <si>
    <t>IO_B4A_RX_B66_AF23_P</t>
  </si>
  <si>
    <t>IO_B4A_RX_B66_AF24_N</t>
  </si>
  <si>
    <t>IO_B4A_RX_B67_AC20_P</t>
  </si>
  <si>
    <t>IO_B4A_RX_B67_AD19_N</t>
  </si>
  <si>
    <t>IO_B4A_RX_B70_AE22_P</t>
  </si>
  <si>
    <t>IO_B4A_RX_B70_AE23_N</t>
  </si>
  <si>
    <t>IO_B4A_RX_B71_V18_P</t>
  </si>
  <si>
    <t>IO_B4A_RX_B71_W19_N</t>
  </si>
  <si>
    <t>IO_B4A_RX_B74_AD20_P</t>
  </si>
  <si>
    <t>IO_B4A_RX_B74_AD21_N</t>
  </si>
  <si>
    <t>IO_B4A_RX_B75_Y19_P</t>
  </si>
  <si>
    <t>IO_B4A_RX_B75_AA20_N</t>
  </si>
  <si>
    <t>IO_B4A_RX_B78_AC22_P</t>
  </si>
  <si>
    <t>IO_B4A_RX_B78_AC23_N</t>
  </si>
  <si>
    <t>IO_B4A_RX_B79_AA21_P</t>
  </si>
  <si>
    <t>IO_B4A_RX_B79_AB21_N</t>
  </si>
  <si>
    <t>C_PRSNT#</t>
  </si>
  <si>
    <t>IO_B4A_TX_B41_AG16_P</t>
  </si>
  <si>
    <t>IO_B4A_TX_B44_AE16_P</t>
  </si>
  <si>
    <t>IO_B4A_TX_B44_AF16_N</t>
  </si>
  <si>
    <t>IO_B4A_TX_B45_AJ16_P</t>
  </si>
  <si>
    <t>IO_B4A_TX_B45_AK16_N</t>
  </si>
  <si>
    <t>IO_B4A_TX_B48_AH17_P</t>
  </si>
  <si>
    <t>IO_B4A_TX_B48_AH18_N</t>
  </si>
  <si>
    <t>IO_B4A_TX_B49_AG18_P</t>
  </si>
  <si>
    <t>IO_B4A_TX_B49_AH19_N</t>
  </si>
  <si>
    <t>IO_B4A_TX_B52_AJ19_P</t>
  </si>
  <si>
    <t>IO_B4A_TX_B52_AK19_N</t>
  </si>
  <si>
    <t>IO_B4A_TX_B53_AJ20_P</t>
  </si>
  <si>
    <t>IO_B4A_TX_B53_AJ21_N</t>
  </si>
  <si>
    <t>IO_B4A_TX_B56_AG23_P</t>
  </si>
  <si>
    <t>IO_B4A_TX_B56_AH24_N</t>
  </si>
  <si>
    <t>IO_B4A_TX_B57_AG22_P</t>
  </si>
  <si>
    <t>IO_B4A_TX_B57_AH22_N</t>
  </si>
  <si>
    <t>IO_B4A_TX_B60_AK21_P</t>
  </si>
  <si>
    <t>IO_B4A_TX_B60_AK22_N</t>
  </si>
  <si>
    <t>IO_B4A_TX_B61_AH23_P</t>
  </si>
  <si>
    <t>IO_B4A_TX_B61_AJ22_N</t>
  </si>
  <si>
    <t>IO_B4A_TX_B64_AK23_P</t>
  </si>
  <si>
    <t>IO_B4A_TX_B64_AK24_N</t>
  </si>
  <si>
    <t>IO_B4A_TX_B65_AJ24_P</t>
  </si>
  <si>
    <t>IO_B4A_TX_B65_AJ25_N</t>
  </si>
  <si>
    <t>IO_B4A_TX_B68_AJ26_P</t>
  </si>
  <si>
    <t>IO_B4A_TX_B68_AK26_N</t>
  </si>
  <si>
    <t>IO_B4A_TX_B69_AG25_P</t>
  </si>
  <si>
    <t>IO_B4A_TX_B69_AH25_N</t>
  </si>
  <si>
    <t>IO_B4A_TX_B72_AJ27_P</t>
  </si>
  <si>
    <t>IO_B4A_TX_B72_AK27_N</t>
  </si>
  <si>
    <t>IO_B4A_TX_B73_AK28_P</t>
  </si>
  <si>
    <t>IO_B4A_TX_B73_AK29_N</t>
  </si>
  <si>
    <t>IO_B4A_TX_B76_AG26_P</t>
  </si>
  <si>
    <t>IO_B4A_TX_B76_AH27_N</t>
  </si>
  <si>
    <t>IO_B4A_TX_B77_AF25_P</t>
  </si>
  <si>
    <t>IO_B4A_TX_B77_AF26_N</t>
  </si>
  <si>
    <t>IO_B4A_TX_B80_AD24_P</t>
  </si>
  <si>
    <t>IO_B4A_TX_B80_AE24_N</t>
  </si>
  <si>
    <t>VMON_1V55</t>
  </si>
  <si>
    <t>IO_B5B_CLK5_R21_AA26_P</t>
  </si>
  <si>
    <t>IO_B5B_CLK5_R21_AB27_N</t>
  </si>
  <si>
    <t>IO_B5B_CLK4_R23_Y26_P</t>
  </si>
  <si>
    <t>IO_B5B_CLK4_R23_Y27_N</t>
  </si>
  <si>
    <t>IO_B5A_RX_R2_AD25_P</t>
  </si>
  <si>
    <t>IO_B5A_RX_R2_AC25_N</t>
  </si>
  <si>
    <t>IO_B5A_RX_R4_W20_P</t>
  </si>
  <si>
    <t>IO_B5A_RX_R4_Y21_N</t>
  </si>
  <si>
    <t>IO_B5A_RX_R6_W21_P</t>
  </si>
  <si>
    <t>IO_B5A_RX_R6_PERST#_W22_N</t>
  </si>
  <si>
    <t>IO_B5A_RX_R8_AB22_P</t>
  </si>
  <si>
    <t>IO_B5A_RX_R8_AB23_N</t>
  </si>
  <si>
    <t>IO_B5A_RX_R9_AA24_P</t>
  </si>
  <si>
    <t>IO_B5A_RX_R9_AB25_N</t>
  </si>
  <si>
    <t>IO_B5A_RX_R11_Y23_P</t>
  </si>
  <si>
    <t>IO_B5A_RX_R11_Y24_N</t>
  </si>
  <si>
    <t>IO_B5A_RX_R13_V23_P</t>
  </si>
  <si>
    <t>IO_B5A_RX_R13_W24_N</t>
  </si>
  <si>
    <t>IO_B5A_RX_R15_AD26_P</t>
  </si>
  <si>
    <t>IO_B5A_RX_R15_AC27_N</t>
  </si>
  <si>
    <t>IO_B5B_RX_R17_W25_P</t>
  </si>
  <si>
    <t>IO_B5B_RX_R17_V25_N</t>
  </si>
  <si>
    <t>IO_B5B_RX_R19_AB30_P</t>
  </si>
  <si>
    <t>IO_B5B_RX_R19_AA30_N</t>
  </si>
  <si>
    <t>IO_B5A_TX_R1_AG27_P</t>
  </si>
  <si>
    <t>IO_B5A_TX_R1_AH28_N</t>
  </si>
  <si>
    <t>IO_B5A_TX_R3_AJ29_P</t>
  </si>
  <si>
    <t>IO_B5A_TX_R3_AH29_CVP_N</t>
  </si>
  <si>
    <t>IO_B5A_TX_R5_AE26_P</t>
  </si>
  <si>
    <t>IO_B5A_TX_R5_AD27_N</t>
  </si>
  <si>
    <t>IO_B5A_TX_R7_AA25_P</t>
  </si>
  <si>
    <t>IO_B5A_TX_R7_AB26_N</t>
  </si>
  <si>
    <t>IO_B5A_TX_R10_AE27_P</t>
  </si>
  <si>
    <t>IO_B5A_TX_R10_AE28_N</t>
  </si>
  <si>
    <t>IO_B5A_TX_R12_AG28_P</t>
  </si>
  <si>
    <t>IO_B5A_TX_R12_AF28_N</t>
  </si>
  <si>
    <t>IO_B5A_TX_R14_AF29_P</t>
  </si>
  <si>
    <t>IO_B5A_TX_R14_AF30_N</t>
  </si>
  <si>
    <t>IO_B5A_TX_R16_AH30_P</t>
  </si>
  <si>
    <t>IO_B5A_TX_R16_AG30_N</t>
  </si>
  <si>
    <t>IO_B5B_TX_R18_AC28_P</t>
  </si>
  <si>
    <t>IO_B5B_TX_R18_AC29_N</t>
  </si>
  <si>
    <t>IO_B5B_TX_R20_AB28_P</t>
  </si>
  <si>
    <t>IO_B5B_TX_R20_AA28_N</t>
  </si>
  <si>
    <t>IO_B5B_TX_R22_AE29_P</t>
  </si>
  <si>
    <t>IO_B5B_TX_R22_AD29_N</t>
  </si>
  <si>
    <t>IO_B5B_TX_R24_AD30_P</t>
  </si>
  <si>
    <t>IO_B5B_TX_R24_AC30_N</t>
  </si>
  <si>
    <t>Notes (denoted with an asterisk* on the Pinouts sheet)</t>
  </si>
  <si>
    <t>1.</t>
  </si>
  <si>
    <t>2.</t>
  </si>
  <si>
    <t>3.</t>
  </si>
  <si>
    <t>4.</t>
  </si>
  <si>
    <t>5.</t>
  </si>
  <si>
    <t>6.</t>
  </si>
  <si>
    <t>7.</t>
  </si>
  <si>
    <t>8.</t>
  </si>
  <si>
    <t>•</t>
  </si>
  <si>
    <t>Master Pinout for Enclustra Mercury Modules: 168-pin Hirose FX10 Connectors</t>
  </si>
  <si>
    <t>USBH_D_P</t>
  </si>
  <si>
    <t>USBH_D_N</t>
  </si>
  <si>
    <t>HPS_GPIO51_SDA</t>
  </si>
  <si>
    <t>HPS_GPIO52_SCL</t>
  </si>
  <si>
    <t>VBUS_DETECT</t>
  </si>
  <si>
    <t>ETH1B_LED#</t>
  </si>
  <si>
    <t>ETH1A_LED#</t>
  </si>
  <si>
    <t>IO_B8A_CLK7_T1_H15_P</t>
  </si>
  <si>
    <t>IO_B8A_CLK7_T1_G15_N</t>
  </si>
  <si>
    <t>MGT_REFCLK0_W8_P</t>
  </si>
  <si>
    <t>MGT_REFCLK0_W7_N</t>
  </si>
  <si>
    <t>MGT_REFCLK1_T9_P</t>
  </si>
  <si>
    <t>MGT_REFCLK1_T8_N</t>
  </si>
  <si>
    <t>MGT_RX0_AE2_P</t>
  </si>
  <si>
    <t>MGT_RX0_AE1_N</t>
  </si>
  <si>
    <t>MGT_RX1_AC2_P</t>
  </si>
  <si>
    <t>MGT_RX1_AC1_N</t>
  </si>
  <si>
    <t>MGT_RX2_AA2_P</t>
  </si>
  <si>
    <t>MGT_RX2_AA1_N</t>
  </si>
  <si>
    <t>MGT_RX3_W2_P</t>
  </si>
  <si>
    <t>MGT_RX3_W1_N</t>
  </si>
  <si>
    <t>MGT_RX4_U2_P</t>
  </si>
  <si>
    <t>MGT_RX4_U1_N</t>
  </si>
  <si>
    <t>MGT_RX5_R2_P</t>
  </si>
  <si>
    <t>MGT_RX5_R1_N</t>
  </si>
  <si>
    <t>MGT_RX6_N2_P</t>
  </si>
  <si>
    <t>MGT_RX6_N1_N</t>
  </si>
  <si>
    <t>MGT_RX7_L2_P</t>
  </si>
  <si>
    <t>MGT_RX7_L1_N</t>
  </si>
  <si>
    <t>MGT_REFCLK2_P9_P</t>
  </si>
  <si>
    <t>MGT_REFCLK2_P8_N</t>
  </si>
  <si>
    <t>MGT_TX0_AD4_P</t>
  </si>
  <si>
    <t>MGT_TX0_AD3_N</t>
  </si>
  <si>
    <t>MGT_TX1_AB4_P</t>
  </si>
  <si>
    <t>MGT_TX1_AB3_N</t>
  </si>
  <si>
    <t>MGT_TX2_Y4_P</t>
  </si>
  <si>
    <t>MGT_TX2_Y3_N</t>
  </si>
  <si>
    <t>MGT_TX3_V4_P</t>
  </si>
  <si>
    <t>MGT_TX3_V3_N</t>
  </si>
  <si>
    <t>MGT_TX4_T4_P</t>
  </si>
  <si>
    <t>MGT_TX4_T3_N</t>
  </si>
  <si>
    <t>MGT_TX5_P4_P</t>
  </si>
  <si>
    <t>MGT_TX5_P3_N</t>
  </si>
  <si>
    <t>MGT_TX6_M4_P</t>
  </si>
  <si>
    <t>MGT_TX6_M3_N</t>
  </si>
  <si>
    <t>MGT_TX7_K4_P</t>
  </si>
  <si>
    <t>MGT_TX7_K3_N</t>
  </si>
  <si>
    <t>MGT_TX8_H4_P</t>
  </si>
  <si>
    <t>MGT_TX8_H3_N</t>
  </si>
  <si>
    <t>MGT_RX8_J2_P</t>
  </si>
  <si>
    <t>MGT_RX8_J1_N</t>
  </si>
  <si>
    <t>Mercury EV2</t>
  </si>
  <si>
    <t>12 May 2015</t>
  </si>
  <si>
    <t>R3</t>
  </si>
  <si>
    <t>End-of-life</t>
  </si>
  <si>
    <t>Arria 10 SoC</t>
  </si>
  <si>
    <t>F780</t>
  </si>
  <si>
    <t>MGT_TX6_P</t>
  </si>
  <si>
    <t>MGT_TX6_N</t>
  </si>
  <si>
    <t>MGT_TX7_P</t>
  </si>
  <si>
    <t>MGT_TX7_N</t>
  </si>
  <si>
    <t>MGT_RX6_P</t>
  </si>
  <si>
    <t>MGT_RX6_N</t>
  </si>
  <si>
    <t>MGT_RX7_P</t>
  </si>
  <si>
    <t>MGT_RX7_N</t>
  </si>
  <si>
    <t>Mercury+ SA2</t>
  </si>
  <si>
    <t>Mercury+ AA1</t>
  </si>
  <si>
    <t>Zynq Ultrascale+</t>
  </si>
  <si>
    <t>C784</t>
  </si>
  <si>
    <t>C900</t>
  </si>
  <si>
    <t>VBUS_HDP</t>
  </si>
  <si>
    <t>ID_HDM</t>
  </si>
  <si>
    <t>Zynq-7000</t>
  </si>
  <si>
    <t>Z-7030/7035/7045</t>
  </si>
  <si>
    <t>160T/325T/410T</t>
  </si>
  <si>
    <t>30/75/115</t>
  </si>
  <si>
    <t>C5/C6</t>
  </si>
  <si>
    <t>C5/D6</t>
  </si>
  <si>
    <t>Z-7015/7030</t>
  </si>
  <si>
    <t>MGT_REFCLK2_W6_B34_L6_J8_P (*7)</t>
  </si>
  <si>
    <t>MGT_REFCLK2_W5_B34_L6_VREF_H8_N (*7)</t>
  </si>
  <si>
    <t>MGT_REFCLK3_AA6_B33_L19_M7_P (*7)</t>
  </si>
  <si>
    <t>MGT_REFCLK3_AA5_B33_L19_VREF_L7_N (*7)</t>
  </si>
  <si>
    <t>MGT_TX0_AA2_P</t>
  </si>
  <si>
    <t>MGT_TX0_AA1_N</t>
  </si>
  <si>
    <t>MGT_TX1_W2_P</t>
  </si>
  <si>
    <t>MGT_TX1_W1_N</t>
  </si>
  <si>
    <t>MGT_TX2_U2_P</t>
  </si>
  <si>
    <t>MGT_TX2_U1_N</t>
  </si>
  <si>
    <t>MGT_TX3_R2_P</t>
  </si>
  <si>
    <t>MGT_TX3_R1_N</t>
  </si>
  <si>
    <t>MGT_REFCLK0_R6_P</t>
  </si>
  <si>
    <t>MGT_REFCLK1_U6_P</t>
  </si>
  <si>
    <t>MGT_REFCLK1_U5_N</t>
  </si>
  <si>
    <t>MGT_RX0_AB4_P</t>
  </si>
  <si>
    <t>MGT_RX0_AB3_N</t>
  </si>
  <si>
    <t>MGT_RX1_Y4_P</t>
  </si>
  <si>
    <t>MGT_RX1_Y3_N</t>
  </si>
  <si>
    <t>MGT_RX2_V4_P</t>
  </si>
  <si>
    <t>MGT_RX2_V3_N</t>
  </si>
  <si>
    <t>MGT_RX3_T4_P</t>
  </si>
  <si>
    <t>MGT_RX3_T3_N</t>
  </si>
  <si>
    <t>VMON_2V9_DIV</t>
  </si>
  <si>
    <t>IO_MIO50_B12_W16</t>
  </si>
  <si>
    <t>IO_MIO51_B12_W15</t>
  </si>
  <si>
    <t>IO_MIO48_B12_Y16</t>
  </si>
  <si>
    <t>IO_MIO49_B12_Y15</t>
  </si>
  <si>
    <t>FX3_DQ2_B3B_AK13</t>
  </si>
  <si>
    <t>FX3_DQ3_B3B_AJ7</t>
  </si>
  <si>
    <t>FX3_DQ6_B3B_AH7</t>
  </si>
  <si>
    <t>FX3_DQ7_B3B_AH10</t>
  </si>
  <si>
    <t>FX3_DQ10_B3B_AH8</t>
  </si>
  <si>
    <t>FX3_DQ11_B3B_AJ10</t>
  </si>
  <si>
    <t>FX3_DQ14_B3B_CLK0_AF14</t>
  </si>
  <si>
    <t>FX3_DQ15_B3B_AJ11</t>
  </si>
  <si>
    <t>FX3_DQ18_B3B_AG13</t>
  </si>
  <si>
    <t>FX3_DQ19_B3B_AG12</t>
  </si>
  <si>
    <t>FX3_DQ22_B3B_AB15</t>
  </si>
  <si>
    <t>FX3_DQ23_B3B_AC14</t>
  </si>
  <si>
    <t>FX3_DQ26_B3B_AA15</t>
  </si>
  <si>
    <t>FX3_DQ27_B3B_AH15</t>
  </si>
  <si>
    <t>FX3_DQ30_B3B_CLK1_W15</t>
  </si>
  <si>
    <t>FX3_DQ31_B3B_AH14</t>
  </si>
  <si>
    <t>FX3_DQ0_B3B_AK7</t>
  </si>
  <si>
    <t>FX3_DQ1_B3B_AJ6</t>
  </si>
  <si>
    <t>FX3_DQ4_B3B_AK12</t>
  </si>
  <si>
    <t>FX3_DQ5_B3B_AK14</t>
  </si>
  <si>
    <t>FX3_DQ8_B3B_AK8</t>
  </si>
  <si>
    <t>FX3_DQ9_B3B_AJ9</t>
  </si>
  <si>
    <t>FX3_DQ12_B3B_AK9</t>
  </si>
  <si>
    <t>FX3_DQ13_B3B_AK11</t>
  </si>
  <si>
    <t>FX3_DQ16_B3B_AG15</t>
  </si>
  <si>
    <t>FX3_DQ17_B3B_AH13</t>
  </si>
  <si>
    <t>FX3_DQ20_B3B_AH12</t>
  </si>
  <si>
    <t>FX3_DQ21_B3B_AF15</t>
  </si>
  <si>
    <t>FX3_DQ24_B3B_AJ12</t>
  </si>
  <si>
    <t>FX3_DQ25_B3B_AA14</t>
  </si>
  <si>
    <t>FX3_DQ28_B3B_AJ14</t>
  </si>
  <si>
    <t>FX3_DQ29_B3B_Y16</t>
  </si>
  <si>
    <t>IO_B2A_L1_AE10_N</t>
  </si>
  <si>
    <t>IO_B2A_L1_AE11_P</t>
  </si>
  <si>
    <t>IO_B2A_L2_AE14_N</t>
  </si>
  <si>
    <t>IO_B2A_L2_AE15_P</t>
  </si>
  <si>
    <t>IO_B2A_L3_AD15_N</t>
  </si>
  <si>
    <t>IO_B2A_L3_AE16_P</t>
  </si>
  <si>
    <t>IO_B2A_L4_AD12_N</t>
  </si>
  <si>
    <t>IO_B2A_L4_AE12_P</t>
  </si>
  <si>
    <t>IO_B2A_L5_AF11_N</t>
  </si>
  <si>
    <t>IO_B2A_L5_AF12_P</t>
  </si>
  <si>
    <t>IO_B2A_L6_AD14_N</t>
  </si>
  <si>
    <t>IO_B2A_L6_AD13_P</t>
  </si>
  <si>
    <t>IO_B2A_L7_AF19_N</t>
  </si>
  <si>
    <t>IO_B2A_L7_AG18_P</t>
  </si>
  <si>
    <t>IO_B2A_L8_AF18_N</t>
  </si>
  <si>
    <t>IO_B2A_L8_AF17_P</t>
  </si>
  <si>
    <t>IO_B2A_L9_AF14_N</t>
  </si>
  <si>
    <t>IO_B2A_L9_AF13_P</t>
  </si>
  <si>
    <t>IO_B2A_L10_AE20_N</t>
  </si>
  <si>
    <t>IO_B2A_L10_AE19_P</t>
  </si>
  <si>
    <t>IO_B2A_L11_AF16_N</t>
  </si>
  <si>
    <t>IO_B2A_L11_RZQ_AG16_P</t>
  </si>
  <si>
    <t>IO_B2A_L12_CLK1_AG15_N</t>
  </si>
  <si>
    <t>IO_B2A_L12_CLK1_AG14_P</t>
  </si>
  <si>
    <t>IO_B2A_L13_CLK0_AA16_N</t>
  </si>
  <si>
    <t>IO_B2A_L13_CLK0_AB16_P</t>
  </si>
  <si>
    <t>IO_B2A_L14_AD19_N</t>
  </si>
  <si>
    <t>IO_B2A_L14_AD20_P</t>
  </si>
  <si>
    <t>IO_B2A_L15_AC17_N</t>
  </si>
  <si>
    <t>IO_B2A_L15_AC16_P</t>
  </si>
  <si>
    <t>IO_B2A_L16_AC18_N</t>
  </si>
  <si>
    <t>IO_B2A_L16_AD18_P</t>
  </si>
  <si>
    <t>IO_B2A_L17_AD17_N</t>
  </si>
  <si>
    <t>IO_B2A_L17_AE17_P</t>
  </si>
  <si>
    <t>IO_B2A_L18_Y15_N</t>
  </si>
  <si>
    <t>IO_B2A_L18_Y16_P</t>
  </si>
  <si>
    <t>IO_B2A_L19_AA11_N</t>
  </si>
  <si>
    <t>IO_B2A_L20_AA14_N</t>
  </si>
  <si>
    <t>IO_B2A_L20_AB14_P</t>
  </si>
  <si>
    <t>IO_B2A_L21_AB15_N</t>
  </si>
  <si>
    <t>IO_B2A_L21_AC15_P</t>
  </si>
  <si>
    <t>IO_B2A_L22_AC13_P</t>
  </si>
  <si>
    <t>IO_B2A_L23_AA13_N</t>
  </si>
  <si>
    <t>IO_B2A_L23_AA12_P</t>
  </si>
  <si>
    <t>IO_B2A_L24_AC11_N</t>
  </si>
  <si>
    <t>IO_B2A_L24_AC12_P</t>
  </si>
  <si>
    <t>IO_B2L_GP1IO23_H16</t>
  </si>
  <si>
    <t>IO_B2L_GP1IO22_H17</t>
  </si>
  <si>
    <t>IO_B2L_GP1IO21_MOSI_J19</t>
  </si>
  <si>
    <t>IO_B2L_GP1IO20_CLK_J18</t>
  </si>
  <si>
    <t>IO_B2L_GP1IO19_SS0#_K17</t>
  </si>
  <si>
    <t>IO_B2L_GP1IO18_MISO_J17</t>
  </si>
  <si>
    <t>IO_B2L_GP1IO17_SDD3_F18</t>
  </si>
  <si>
    <t>IO_B2L_GP1IO16_SDD2_F17</t>
  </si>
  <si>
    <t>IO_B2L_GP1IO15_SDD1_H18</t>
  </si>
  <si>
    <t>IO_B2L_GP1IO14_SDCLK_G18</t>
  </si>
  <si>
    <t>IO_B2L_GP1IO13_SDCMD_G19</t>
  </si>
  <si>
    <t>IO_B2L_GP1IO12_SDD0_G20</t>
  </si>
  <si>
    <t>IO_B2L_GP1IO9_E23</t>
  </si>
  <si>
    <t>IO_B2L_GP1IO8_D23</t>
  </si>
  <si>
    <t>IO_B2L_GP1IO1_G23</t>
  </si>
  <si>
    <t>IO_B2L_GP1IO0_CLK1_F23</t>
  </si>
  <si>
    <t>VCC_IO_B2A</t>
  </si>
  <si>
    <t>VCC_CFG_B2L</t>
  </si>
  <si>
    <t>VMON_1V8A</t>
  </si>
  <si>
    <t>MGT_B1D_REFCLKT_N24_P</t>
  </si>
  <si>
    <t>MGT_B1D_REFCLKT_N23_N</t>
  </si>
  <si>
    <t>MGT_B1D_TX5_E27_N</t>
  </si>
  <si>
    <t>MGT_B1D_TX5_E28_P</t>
  </si>
  <si>
    <t>MGT_B1D_RX5_D25_N</t>
  </si>
  <si>
    <t>MGT_B1D_RX5_D26_P</t>
  </si>
  <si>
    <t>MGT_B1D_TX4_G27_N</t>
  </si>
  <si>
    <t>MGT_B1D_TX4_G28_P</t>
  </si>
  <si>
    <t>MGT_B1D_RX4_F25_N</t>
  </si>
  <si>
    <t>MGT_B1D_RX4_F26_P</t>
  </si>
  <si>
    <t>MGT_B1D_TX3_J27_N</t>
  </si>
  <si>
    <t>MGT_B1D_TX3_J28_P</t>
  </si>
  <si>
    <t>MGT_B1D_RX3_H25_N</t>
  </si>
  <si>
    <t>MGT_B1D_RX3_H26_P</t>
  </si>
  <si>
    <t>MGT_B1D_TX2_L27_N</t>
  </si>
  <si>
    <t>MGT_B1D_TX2_L28_P</t>
  </si>
  <si>
    <t>MGT_B1D_RX2_K25_N</t>
  </si>
  <si>
    <t>MGT_B1D_RX2_K26_P</t>
  </si>
  <si>
    <t>MGT_B1D_TX1_N27_N</t>
  </si>
  <si>
    <t>MGT_B1D_TX1_N28_P</t>
  </si>
  <si>
    <t>MGT_B1D_RX1_M25_N</t>
  </si>
  <si>
    <t>MGT_B1D_RX1_M26_P</t>
  </si>
  <si>
    <t>MGT_B1D_TX0_R27_N</t>
  </si>
  <si>
    <t>MGT_B1D_TX0_R28_P</t>
  </si>
  <si>
    <t>MGT_B1D_RX0_P25_N</t>
  </si>
  <si>
    <t>MGT_B1D_RX0_P26_P</t>
  </si>
  <si>
    <t>MGT_B1D_REFCLKB_R24_P</t>
  </si>
  <si>
    <t>MGT_B1D_REFCLKB_R23_N</t>
  </si>
  <si>
    <t>MGT_B1C_REFCLKT_U24_P</t>
  </si>
  <si>
    <t>MGT_B1C_REFCLKT_U23_N</t>
  </si>
  <si>
    <t>MGT_B1C_TX5_U27_N</t>
  </si>
  <si>
    <t>MGT_B1C_TX5_U28_P</t>
  </si>
  <si>
    <t>MGT_B1C_RX5_T25_N</t>
  </si>
  <si>
    <t>MGT_B1C_RX5_T26_P</t>
  </si>
  <si>
    <t>MGT_B1C_TX4_W27_N</t>
  </si>
  <si>
    <t>MGT_B1C_TX4_W28_P</t>
  </si>
  <si>
    <t>MGT_B1C_RX4_V25_N</t>
  </si>
  <si>
    <t>MGT_B1C_RX4_V26_P</t>
  </si>
  <si>
    <t>MGT_B1C_TX3_AA27_N</t>
  </si>
  <si>
    <t>MGT_B1C_TX3_AA28_P</t>
  </si>
  <si>
    <t>MGT_B1C_RX3_Y25_N</t>
  </si>
  <si>
    <t>MGT_B1C_RX3_Y26_P</t>
  </si>
  <si>
    <t>MGT_B1C_TX2_AC27_N</t>
  </si>
  <si>
    <t>MGT_B1C_TX2_AC28_P</t>
  </si>
  <si>
    <t>MGT_B1C_RX2_AB25_N</t>
  </si>
  <si>
    <t>MGT_B1C_RX2_AB26_P</t>
  </si>
  <si>
    <t>MGT_B1C_TX1_AE27_N</t>
  </si>
  <si>
    <t>MGT_B1C_TX1_AE28_P</t>
  </si>
  <si>
    <t>MGT_B1C_RX1_AD25_N</t>
  </si>
  <si>
    <t>MGT_B1C_RX1_AD26_P</t>
  </si>
  <si>
    <t>MGT_B1C_TX0_AG27_N</t>
  </si>
  <si>
    <t>MGT_B1C_TX0_AG28_P</t>
  </si>
  <si>
    <t>MGT_B1C_RX0_AF25_N</t>
  </si>
  <si>
    <t>MGT_B1C_RX0_AF26_P</t>
  </si>
  <si>
    <t>MGT_B1C_REFCLKB_W24_P</t>
  </si>
  <si>
    <t>MGT_B1C_REFCLKB_W23_N</t>
  </si>
  <si>
    <t>IO_B3D_L7_J9_N</t>
  </si>
  <si>
    <t>IO_B3D_L7_K9_P</t>
  </si>
  <si>
    <t>IO_B3D_L8_G9_N</t>
  </si>
  <si>
    <t>IO_B3D_L8_F9_P</t>
  </si>
  <si>
    <t>IO_B3D_L9_L8_N</t>
  </si>
  <si>
    <t>IO_B3D_L9_L9_P</t>
  </si>
  <si>
    <t>IO_B3D_L10_J8_N</t>
  </si>
  <si>
    <t>IO_B3D_L10_H8_P</t>
  </si>
  <si>
    <t>IO_B3D_L11_F7_N</t>
  </si>
  <si>
    <t>IO_B3D_L11_RZQ_F6_P</t>
  </si>
  <si>
    <t>IO_B3D_L12_CLK1_F8_N</t>
  </si>
  <si>
    <t>IO_B3D_L12_CLK1_G8_P</t>
  </si>
  <si>
    <t>IO_B3D_L13_CLK0_D7_N</t>
  </si>
  <si>
    <t>IO_B3D_L13_CLK0_C7_P</t>
  </si>
  <si>
    <t>IO_B3D_L14_A7_N</t>
  </si>
  <si>
    <t>IO_B3D_L14_A6_P</t>
  </si>
  <si>
    <t>IO_B3D_L15_E7_N</t>
  </si>
  <si>
    <t>IO_B3D_L15_E6_P</t>
  </si>
  <si>
    <t>IO_B3D_L16_C6_N</t>
  </si>
  <si>
    <t>IO_B3D_L16_C5_P</t>
  </si>
  <si>
    <t>IO_B3D_L17_B6_N</t>
  </si>
  <si>
    <t>IO_B3D_L17_B5_P</t>
  </si>
  <si>
    <t>IO_B3D_L18_E5_N</t>
  </si>
  <si>
    <t>IO_B3D_L18_D5_P</t>
  </si>
  <si>
    <t>IO_B3C_L1_H7_N</t>
  </si>
  <si>
    <t>IO_B3C_L1_H6_P</t>
  </si>
  <si>
    <t>IO_B3C_L2_N8_N</t>
  </si>
  <si>
    <t>IO_B3C_L2_N7_P</t>
  </si>
  <si>
    <t>IO_B3C_L3_K6_N</t>
  </si>
  <si>
    <t>IO_B3C_L3_L6_P</t>
  </si>
  <si>
    <t>IO_B3C_L4_H5_N</t>
  </si>
  <si>
    <t>IO_B3C_L4_G4_P</t>
  </si>
  <si>
    <t>IO_B3C_L5_J7_N</t>
  </si>
  <si>
    <t>IO_B3C_L5_K7_P</t>
  </si>
  <si>
    <t>IO_B3C_L6_M8_N</t>
  </si>
  <si>
    <t>IO_B3C_L6_L7_P</t>
  </si>
  <si>
    <t>IO_B3C_L7_P8_N</t>
  </si>
  <si>
    <t>IO_B3C_L7_P9_P</t>
  </si>
  <si>
    <t>IO_B3C_L8_P7_N</t>
  </si>
  <si>
    <t>IO_B3C_L8_N6_P</t>
  </si>
  <si>
    <t>IO_B3C_L9_R7_N</t>
  </si>
  <si>
    <t>IO_B3C_L9_R6_P</t>
  </si>
  <si>
    <t>IO_B3C_L10_J5_N</t>
  </si>
  <si>
    <t>IO_B3C_L10_K5_P</t>
  </si>
  <si>
    <t>IO_B3C_L11_M6_N</t>
  </si>
  <si>
    <t>IO_B3C_L11_RZQ_M5_P</t>
  </si>
  <si>
    <t>IO_B3C_L12_CLK1_P5_N</t>
  </si>
  <si>
    <t>IO_B3C_L12_CLK1_N5_P</t>
  </si>
  <si>
    <t>IO_B3C_L13_CLK0_G6_N</t>
  </si>
  <si>
    <t>IO_B3C_L13_CLK0_G5_P</t>
  </si>
  <si>
    <t>IO_B3C_L14_C3_N</t>
  </si>
  <si>
    <t>IO_B3C_L14_B3_P</t>
  </si>
  <si>
    <t>IO_B3C_L15_B4_N</t>
  </si>
  <si>
    <t>IO_B3C_L15_A4_P</t>
  </si>
  <si>
    <t>IO_B3C_L16_E4_N</t>
  </si>
  <si>
    <t>IO_B3C_L16_F4_P</t>
  </si>
  <si>
    <t>IO_B3C_L17_A3_N</t>
  </si>
  <si>
    <t>IO_B3C_L17_A2_P</t>
  </si>
  <si>
    <t>IO_B3C_L18_D4_N</t>
  </si>
  <si>
    <t>IO_B3C_L18_D3_P</t>
  </si>
  <si>
    <t>IO_B3C_L19_C2_N</t>
  </si>
  <si>
    <t>IO_B3C_L19_D2_P</t>
  </si>
  <si>
    <t>IO_B3C_L20_E2_N</t>
  </si>
  <si>
    <t>IO_B3C_L20_F2_P</t>
  </si>
  <si>
    <t>IO_B3C_L21_F3_N</t>
  </si>
  <si>
    <t>IO_B3C_L21_G3_P</t>
  </si>
  <si>
    <t>IO_B3C_L22_J4_N</t>
  </si>
  <si>
    <t>IO_B3C_L22_H3_P</t>
  </si>
  <si>
    <t>IO_B3C_L23_B1_N</t>
  </si>
  <si>
    <t>IO_B3C_L23_C1_P</t>
  </si>
  <si>
    <t>IO_B3C_L24_E1_N</t>
  </si>
  <si>
    <t>IO_B3C_L24_F1_P</t>
  </si>
  <si>
    <t>VCC_IO_B3CD</t>
  </si>
  <si>
    <t>IO_B3A_L1_Y4_N</t>
  </si>
  <si>
    <t>IO_B3A_L1_W4_P</t>
  </si>
  <si>
    <t>IO_B3A_L2_W7_N</t>
  </si>
  <si>
    <t>IO_B3A_L2_W8_P</t>
  </si>
  <si>
    <t>IO_B3A_L3_Y6_N</t>
  </si>
  <si>
    <t>IO_B3A_L3_Y7_P</t>
  </si>
  <si>
    <t>IO_B3A_L4_Y5_N</t>
  </si>
  <si>
    <t>IO_B3A_L4_W5_P</t>
  </si>
  <si>
    <t>IO_B3A_L5_Y2_N</t>
  </si>
  <si>
    <t>IO_B3A_L5_Y1_P</t>
  </si>
  <si>
    <t>IO_B3A_L6_AA8_N</t>
  </si>
  <si>
    <t>IO_B3A_L6_AA9_P</t>
  </si>
  <si>
    <t>IO_B3A_L7_AB4_N</t>
  </si>
  <si>
    <t>IO_B3A_L7_AC5_P</t>
  </si>
  <si>
    <t>IO_B3A_L8_AA1_N</t>
  </si>
  <si>
    <t>IO_B3A_L8_AB1_P</t>
  </si>
  <si>
    <t>IO_B3A_L9_AB5_N</t>
  </si>
  <si>
    <t>IO_B3A_L9_AB6_P</t>
  </si>
  <si>
    <t>IO_B3A_L10_AB3_N</t>
  </si>
  <si>
    <t>IO_B3A_L10_AA2_P</t>
  </si>
  <si>
    <t>IO_B3A_L11_AA4_N</t>
  </si>
  <si>
    <t>IO_B3A_L11_RZQ_AA3_P</t>
  </si>
  <si>
    <t>IO_B3A_L12_CLK1_AA7_N</t>
  </si>
  <si>
    <t>IO_B3A_L12_CLK1_AA6_P</t>
  </si>
  <si>
    <t>IO_B3A_L13_CLK0_AC3_N</t>
  </si>
  <si>
    <t>IO_B3A_L13_CLK0_AD3_P</t>
  </si>
  <si>
    <t>IO_B3A_L14_AF2_N</t>
  </si>
  <si>
    <t>IO_B3A_L14_AE1_P</t>
  </si>
  <si>
    <t>IO_B3A_L15_AC2_N</t>
  </si>
  <si>
    <t>IO_B3A_L15_AC1_P</t>
  </si>
  <si>
    <t>IO_B3A_L16_AD2_N</t>
  </si>
  <si>
    <t>IO_B3A_L16_AE2_P</t>
  </si>
  <si>
    <t>IO_B3A_L17_AF1_N</t>
  </si>
  <si>
    <t>IO_B3A_L17_AG1_P</t>
  </si>
  <si>
    <t>IO_B3A_L18_AF3_N</t>
  </si>
  <si>
    <t>IO_B3A_L18_AG3_P</t>
  </si>
  <si>
    <t>IO_B3A_L19_AH3_N</t>
  </si>
  <si>
    <t>IO_B3A_L19_AH2_P</t>
  </si>
  <si>
    <t>IO_B3A_L20_AD4_N</t>
  </si>
  <si>
    <t>IO_B3A_L20_AE4_P</t>
  </si>
  <si>
    <t>IO_B3A_L21_AC7_N</t>
  </si>
  <si>
    <t>IO_B3A_L21_AC6_P</t>
  </si>
  <si>
    <t>IO_B3A_L22_AE6_N</t>
  </si>
  <si>
    <t>IO_B3A_L22_AF6_P</t>
  </si>
  <si>
    <t>IO_B3A_L23_AF4_N</t>
  </si>
  <si>
    <t>IO_B3A_L23_AG4_P</t>
  </si>
  <si>
    <t>IO_B3A_L24_AD5_N</t>
  </si>
  <si>
    <t>IO_B3A_L24_AE5_P</t>
  </si>
  <si>
    <t>VCC_IO_B3AB</t>
  </si>
  <si>
    <t>FMC_HA10_P</t>
  </si>
  <si>
    <t>FMC_HA10_N</t>
  </si>
  <si>
    <t>FMC_HA11_P</t>
  </si>
  <si>
    <t>FMC_HA11_N</t>
  </si>
  <si>
    <t>FMC_HA12_P</t>
  </si>
  <si>
    <t>FMC_HA12_N</t>
  </si>
  <si>
    <t>FMC_HA13_P</t>
  </si>
  <si>
    <t>FMC_HA13_N</t>
  </si>
  <si>
    <t>FMC_HA14_P</t>
  </si>
  <si>
    <t>FMC_HA14_N</t>
  </si>
  <si>
    <t>FMC_HA15_P</t>
  </si>
  <si>
    <t>FMC_HA15_N</t>
  </si>
  <si>
    <t>FMC_HA16_P</t>
  </si>
  <si>
    <t>FMC_HA16_N</t>
  </si>
  <si>
    <t>FMC_HA17_CC_P</t>
  </si>
  <si>
    <t>FMC_HA17_CC_N</t>
  </si>
  <si>
    <t>FMC_HB10_P</t>
  </si>
  <si>
    <t>FMC_HB10_N</t>
  </si>
  <si>
    <t>FMC_HB11_P</t>
  </si>
  <si>
    <t>FMC_HB11_N</t>
  </si>
  <si>
    <t>FMC_HB12_P</t>
  </si>
  <si>
    <t>FMC_HB12_N</t>
  </si>
  <si>
    <t>FMC_HB13_P</t>
  </si>
  <si>
    <t>FMC_HB13_N</t>
  </si>
  <si>
    <t>FMC_HB14_P</t>
  </si>
  <si>
    <t>FMC_HB14_N</t>
  </si>
  <si>
    <t>FMC_HB15_P</t>
  </si>
  <si>
    <t>FMC_HB15_N</t>
  </si>
  <si>
    <t>FMC_HB16_P</t>
  </si>
  <si>
    <t>FMC_HB16_N</t>
  </si>
  <si>
    <t>FMC_HB17_CC_P</t>
  </si>
  <si>
    <t>FMC_HB17_CC_N</t>
  </si>
  <si>
    <t>FMC_GBTCLK0_M2C_P</t>
  </si>
  <si>
    <t>FMC_GBTCLK0_M2C_N</t>
  </si>
  <si>
    <t>FMC_DP0_M2C_P</t>
  </si>
  <si>
    <t>FMC_DP1_M2C_P</t>
  </si>
  <si>
    <t>FMC_DP2_M2C_P</t>
  </si>
  <si>
    <t>FMC_DP3_M2C_P</t>
  </si>
  <si>
    <t>FMC_DP0_M2C_N</t>
  </si>
  <si>
    <t>FMC_DP1_M2C_N</t>
  </si>
  <si>
    <t>FMC_DP2_M2C_N</t>
  </si>
  <si>
    <t>FMC_DP3_M2C_N</t>
  </si>
  <si>
    <t>FMC_DP0_C2M_P</t>
  </si>
  <si>
    <t>FMC_DP0_C2M_N</t>
  </si>
  <si>
    <t>FMC_DP1_C2M_P</t>
  </si>
  <si>
    <t>FMC_DP1_C2M_N</t>
  </si>
  <si>
    <t>FMC_DP2_C2M_P</t>
  </si>
  <si>
    <t>FMC_DP2_C2M_N</t>
  </si>
  <si>
    <t>FMC_DP3_C2M_P</t>
  </si>
  <si>
    <t>FMC_DP3_C2M_N</t>
  </si>
  <si>
    <t>FMC_HB18_DP7_M2C_P</t>
  </si>
  <si>
    <t>FMC_HB18_DP7_M2C_N</t>
  </si>
  <si>
    <t>CG_CLK3_P</t>
  </si>
  <si>
    <t>CG_CLK3_N</t>
  </si>
  <si>
    <t>DP_RX0_P</t>
  </si>
  <si>
    <t>DP_RX1_P</t>
  </si>
  <si>
    <t>DP_RX0_N</t>
  </si>
  <si>
    <t>SATA_RX_P</t>
  </si>
  <si>
    <t>SATA_RX_N</t>
  </si>
  <si>
    <t>DP_RX1_N</t>
  </si>
  <si>
    <t>CXP0_RX_P</t>
  </si>
  <si>
    <t>CXP0_RX_N</t>
  </si>
  <si>
    <t>CXP1_RX_P</t>
  </si>
  <si>
    <t>CXP1_RX_N</t>
  </si>
  <si>
    <t>SFP0_RX_P</t>
  </si>
  <si>
    <t>SFP0_RX_N</t>
  </si>
  <si>
    <t>SFP1_RX_P</t>
  </si>
  <si>
    <t>SFP1_RX_N</t>
  </si>
  <si>
    <t>SFP2_RX_P</t>
  </si>
  <si>
    <t>SFP2_RX_N</t>
  </si>
  <si>
    <t>SFP3_RX_P</t>
  </si>
  <si>
    <t>SFP3_RX_N</t>
  </si>
  <si>
    <t>Mercury+ EV3</t>
  </si>
  <si>
    <t>PMOD_D0_P</t>
  </si>
  <si>
    <t>PMOD_D1_N</t>
  </si>
  <si>
    <t>SFP3_TX_P</t>
  </si>
  <si>
    <t>SFP3_TX_N</t>
  </si>
  <si>
    <t>SFP0_TX_P</t>
  </si>
  <si>
    <t>SFP0_TX_N</t>
  </si>
  <si>
    <t>SFP1_TX_P</t>
  </si>
  <si>
    <t>SFP1_TX_N</t>
  </si>
  <si>
    <t>SFP2_TX_P</t>
  </si>
  <si>
    <t>SFP2_TX_N</t>
  </si>
  <si>
    <t>SATA_TX_P</t>
  </si>
  <si>
    <t>SATA_TX_N</t>
  </si>
  <si>
    <t>PMOD_D2_P</t>
  </si>
  <si>
    <t>PMOD_D3_N</t>
  </si>
  <si>
    <t>PMOD_D4_P</t>
  </si>
  <si>
    <t>PMOD_D5_N</t>
  </si>
  <si>
    <t>PMOD_D6_P</t>
  </si>
  <si>
    <t>PMOD_D7_N</t>
  </si>
  <si>
    <t>ETH_TXD0</t>
  </si>
  <si>
    <t>ETH_TXD1</t>
  </si>
  <si>
    <t>ETH_TXD2</t>
  </si>
  <si>
    <t>ETH_TXD3</t>
  </si>
  <si>
    <t>ETH_TXCLK</t>
  </si>
  <si>
    <t>ETH_TXCTL</t>
  </si>
  <si>
    <t>ETH_MDIO</t>
  </si>
  <si>
    <t>ETH_MDC</t>
  </si>
  <si>
    <t>IOA_CLK0_P</t>
  </si>
  <si>
    <t>IOA_CLK1_N</t>
  </si>
  <si>
    <t>ETH_RXD0</t>
  </si>
  <si>
    <t>ETH_RXD1</t>
  </si>
  <si>
    <t>ETH_RXD2</t>
  </si>
  <si>
    <t>ETH_RXD3</t>
  </si>
  <si>
    <t>ETH_RXCLK</t>
  </si>
  <si>
    <t>ETH_RXCTL</t>
  </si>
  <si>
    <t>HDMI_D0_P</t>
  </si>
  <si>
    <t>HDMI_D0_N</t>
  </si>
  <si>
    <t>HDMI_D1_P</t>
  </si>
  <si>
    <t>HDMI_D1_N</t>
  </si>
  <si>
    <t>HDMI_D2_P</t>
  </si>
  <si>
    <t>HDMI_D2_N</t>
  </si>
  <si>
    <t>HDMI_CLK_P</t>
  </si>
  <si>
    <t>HDMI_CLK_N</t>
  </si>
  <si>
    <t>ZN_D22_P</t>
  </si>
  <si>
    <t>ZN_D23_N</t>
  </si>
  <si>
    <t>ZN_D20_P</t>
  </si>
  <si>
    <t>ZN_D21_N</t>
  </si>
  <si>
    <t>ZN_D18_P</t>
  </si>
  <si>
    <t>ZN_D19_N</t>
  </si>
  <si>
    <t>ZN_D16_P</t>
  </si>
  <si>
    <t>ZN_D17_N</t>
  </si>
  <si>
    <t>ZN_D14_P</t>
  </si>
  <si>
    <t>ZN_D15_N</t>
  </si>
  <si>
    <t>ZN_D12_SRCC_P</t>
  </si>
  <si>
    <t>ZN_D13_SRCC_N</t>
  </si>
  <si>
    <t>ZN_D10_P</t>
  </si>
  <si>
    <t>ZN_D11_N</t>
  </si>
  <si>
    <t>ZN_D8_P</t>
  </si>
  <si>
    <t>ZN_D9_N</t>
  </si>
  <si>
    <t>ZN_D6_P</t>
  </si>
  <si>
    <t>ZN_D7_N</t>
  </si>
  <si>
    <t>ZN_D0_MRCC_P</t>
  </si>
  <si>
    <t>ZN_D1_MRCC_N</t>
  </si>
  <si>
    <t>ZN_D4_P</t>
  </si>
  <si>
    <t>ZN_D5_N</t>
  </si>
  <si>
    <t>ZN_D2_P</t>
  </si>
  <si>
    <t>ZN_D3_N</t>
  </si>
  <si>
    <t>IOB_CLK_P</t>
  </si>
  <si>
    <t>IOB_CLK_N</t>
  </si>
  <si>
    <t>MGT_REFCLK_P</t>
  </si>
  <si>
    <t>MGT_REFCLK_N</t>
  </si>
  <si>
    <t>ZN_D24_MRCC_P</t>
  </si>
  <si>
    <t>ZN_D25_MRCC_N</t>
  </si>
  <si>
    <t>ZN_D26_P</t>
  </si>
  <si>
    <t>ZN_D27_N</t>
  </si>
  <si>
    <t>ZN_D28_P</t>
  </si>
  <si>
    <t>ZN_D29_N</t>
  </si>
  <si>
    <t>ZN_D30_P</t>
  </si>
  <si>
    <t>ZN_D31_N</t>
  </si>
  <si>
    <t>ZN_D32_P</t>
  </si>
  <si>
    <t>ZN_D33_N</t>
  </si>
  <si>
    <t>ZN_D34_P</t>
  </si>
  <si>
    <t>ZN_D35_N</t>
  </si>
  <si>
    <t>ZN_D36_SRCC_P</t>
  </si>
  <si>
    <t>ZN_D37_SRCC_N</t>
  </si>
  <si>
    <t>ZN_D38_P</t>
  </si>
  <si>
    <t>ZN_D39_N</t>
  </si>
  <si>
    <t>ZN_D40_P</t>
  </si>
  <si>
    <t>ZN_D41_N</t>
  </si>
  <si>
    <t>ZN_D42_P</t>
  </si>
  <si>
    <t>ZN_D43_N</t>
  </si>
  <si>
    <t>ZN_D44_P</t>
  </si>
  <si>
    <t>ZN_D45_N</t>
  </si>
  <si>
    <t>ZN_D46_P</t>
  </si>
  <si>
    <t>ZN_D47_N</t>
  </si>
  <si>
    <t>ZN_Q0_P</t>
  </si>
  <si>
    <t>ZN_Q3_N</t>
  </si>
  <si>
    <t>ZN_Q2_P</t>
  </si>
  <si>
    <t>ZN_Q6_P</t>
  </si>
  <si>
    <t>ZN_Q7_N</t>
  </si>
  <si>
    <t>ZN_Q1_N</t>
  </si>
  <si>
    <t>ZN_Q5_N</t>
  </si>
  <si>
    <t>ZN_Q4_P</t>
  </si>
  <si>
    <t>ZN_Q8_P</t>
  </si>
  <si>
    <t>ZN_Q10_P</t>
  </si>
  <si>
    <t>ZN_Q11_N</t>
  </si>
  <si>
    <t>ZN_Q9_N</t>
  </si>
  <si>
    <t>IOA_D0_CC_P</t>
  </si>
  <si>
    <t>IOA_D1_CC_N</t>
  </si>
  <si>
    <t>IOA_D12_CC_P</t>
  </si>
  <si>
    <t>IOA_D13_CC_N</t>
  </si>
  <si>
    <t>IO_B4_RX_L0_AA13_P</t>
  </si>
  <si>
    <t>IO_B4_RX_L0_AB13_N</t>
  </si>
  <si>
    <t>IO_B3_RX_L0_AA8_P</t>
  </si>
  <si>
    <t>IO_B3_RX_L0_AB8_N</t>
  </si>
  <si>
    <t>IO_B3_RX_L1_AA9_P</t>
  </si>
  <si>
    <t>IO_B3_RX_L1_AB9_N</t>
  </si>
  <si>
    <t>IO_B3_RX_L3_AA10_P</t>
  </si>
  <si>
    <t>IO_B3_RX_L3_AB10_N</t>
  </si>
  <si>
    <t>IO_B2_L4_P2_P</t>
  </si>
  <si>
    <t>IO_B2_L4_P1_N</t>
  </si>
  <si>
    <t>IO_B2_L5_R2_P</t>
  </si>
  <si>
    <t>IO_B2_L5_R1_N</t>
  </si>
  <si>
    <t>IO_B2_L3_N2_P</t>
  </si>
  <si>
    <t>IO_B2_L3_N1_N</t>
  </si>
  <si>
    <t>IO_B2_L1_M2_P</t>
  </si>
  <si>
    <t>IO_B2_L1_M1_N</t>
  </si>
  <si>
    <t>IO_B16_L11_SRCC_G11_P</t>
  </si>
  <si>
    <t>IO_B16_L11_SRCC_F10_N</t>
  </si>
  <si>
    <t>IO_B16_L2_G10_P</t>
  </si>
  <si>
    <t>IO_B16_L2_G9_N</t>
  </si>
  <si>
    <t>IO_B16_L3_J13_P</t>
  </si>
  <si>
    <t>IO_B16_L3_H13_N</t>
  </si>
  <si>
    <t>IO_B16_L5_H14_P</t>
  </si>
  <si>
    <t>IO_B16_L5_G14_N</t>
  </si>
  <si>
    <t>IO_B16_L12_MRCC_E10_P</t>
  </si>
  <si>
    <t>IO_B16_L12_MRCC_D10_N</t>
  </si>
  <si>
    <t>IO_B16_L9_A9_P</t>
  </si>
  <si>
    <t>IO_B16_L9_A8_N</t>
  </si>
  <si>
    <t>IO_B16_L1_H9_P</t>
  </si>
  <si>
    <t>IO_B16_L1_H8_N</t>
  </si>
  <si>
    <t>IO_B16_L15_F14_P</t>
  </si>
  <si>
    <t>IO_B16_L15_F13_N</t>
  </si>
  <si>
    <t>IO_B16_L14_SRCC_E11_P</t>
  </si>
  <si>
    <t>IO_B16_L14_SRCC_D11_N</t>
  </si>
  <si>
    <t>IO_B16_L17_D14_P</t>
  </si>
  <si>
    <t>IO_B16_L17_D13_N</t>
  </si>
  <si>
    <t>IO_B16_L18_E13_P</t>
  </si>
  <si>
    <t>IO_B16_L18_E12_N</t>
  </si>
  <si>
    <t>IO_B16_L21_B14_P</t>
  </si>
  <si>
    <t>IO_B16_L21_A14_N</t>
  </si>
  <si>
    <t>IO_B16_L22_B10_P</t>
  </si>
  <si>
    <t>IO_B16_L22_A10_N</t>
  </si>
  <si>
    <t>IO_B15_L1_AD0_C16_P</t>
  </si>
  <si>
    <t>IO_B15_L1_AD0_B16_N</t>
  </si>
  <si>
    <t>IO_B15_L2_AD8_A18_P</t>
  </si>
  <si>
    <t>IO_B15_L2_AD8_A19_N</t>
  </si>
  <si>
    <t>IO_B15_L12_MRCC_AD5_F17_P</t>
  </si>
  <si>
    <t>IO_B15_L12_MRCC_AD5_E17_N</t>
  </si>
  <si>
    <t>IO_B15_L10_AD4_E15_P</t>
  </si>
  <si>
    <t>IO_B15_L10_AD4_E16_N</t>
  </si>
  <si>
    <t>IO_B15_L8_AD3_G15_P</t>
  </si>
  <si>
    <t>IO_B15_L8_AD3_F15_N</t>
  </si>
  <si>
    <t>IO_B15_L15_D19_P</t>
  </si>
  <si>
    <t>IO_B15_L15_D20_N</t>
  </si>
  <si>
    <t>IO_B15_L13_MRCC_E18_P</t>
  </si>
  <si>
    <t>IO_B15_L13_MRCC_D18_N</t>
  </si>
  <si>
    <t>IO_B15_L17_F19_P</t>
  </si>
  <si>
    <t>IO_B15_L17_E20_N</t>
  </si>
  <si>
    <t>IO_B15_L20_J18_P</t>
  </si>
  <si>
    <t>IO_B15_L20_J19_N</t>
  </si>
  <si>
    <t>IO_B2_L0_M6_N</t>
  </si>
  <si>
    <t>IO_B2_L0_L6_P</t>
  </si>
  <si>
    <t>IO_B2_L2_M4_P</t>
  </si>
  <si>
    <t>IO_B2_L2_M3_N</t>
  </si>
  <si>
    <t>IO_B2_L6_P4_P</t>
  </si>
  <si>
    <t>IO_B2_L6_P3_N</t>
  </si>
  <si>
    <t>IO_B2_L7_U2_P</t>
  </si>
  <si>
    <t>IO_B2_L7_U1_N</t>
  </si>
  <si>
    <t>IO_B2_L8_V2_P</t>
  </si>
  <si>
    <t>IO_B2_L8_V1_N</t>
  </si>
  <si>
    <t>IO_B3_RX_L2_W10_P</t>
  </si>
  <si>
    <t>IO_B3_RX_L2_Y10_N</t>
  </si>
  <si>
    <t>IO_B4_RX_L2_W13_P</t>
  </si>
  <si>
    <t>IO_B4_RX_L2_Y13_N</t>
  </si>
  <si>
    <t>IO_B4_RX_L1_AA14_P</t>
  </si>
  <si>
    <t>IO_B4_RX_L1_AB14_N</t>
  </si>
  <si>
    <t>IO_B4_RX_L3_AA15_P</t>
  </si>
  <si>
    <t>IO_B4_RX_L3_AB15_N</t>
  </si>
  <si>
    <t>IO_B16_L4_J11_P</t>
  </si>
  <si>
    <t>IO_B16_L4_J10_N</t>
  </si>
  <si>
    <t>IO_B16_L6_H12_P</t>
  </si>
  <si>
    <t>IO_B16_L6_VREF_H11_N</t>
  </si>
  <si>
    <t>IO_B16_L8_D9_P</t>
  </si>
  <si>
    <t>IO_B16_L8_D8_N</t>
  </si>
  <si>
    <t>IO_B16_L10_C9_P</t>
  </si>
  <si>
    <t>IO_B16_L10_B9_N</t>
  </si>
  <si>
    <t>IO_B16_L7_F9_P</t>
  </si>
  <si>
    <t>IO_B16_L7_F8_N</t>
  </si>
  <si>
    <t>IO_B16_L13_MRCC_C12_P</t>
  </si>
  <si>
    <t>IO_B16_L13_MRCC_C11_N</t>
  </si>
  <si>
    <t>IO_B16_L16_G12_P</t>
  </si>
  <si>
    <t>IO_B16_L16_F12_N</t>
  </si>
  <si>
    <t>IO_B16_L19_C14_P</t>
  </si>
  <si>
    <t>IO_B16_L19_VREF_C13_N</t>
  </si>
  <si>
    <t>IO_B16_L20_B12_P</t>
  </si>
  <si>
    <t>IO_B16_L20_B11_N</t>
  </si>
  <si>
    <t>IO_B16_L23_B15_P</t>
  </si>
  <si>
    <t>IO_B16_L23_A15_N</t>
  </si>
  <si>
    <t>IO_B16_L24_A13_P</t>
  </si>
  <si>
    <t>IO_B16_L24_A12_N</t>
  </si>
  <si>
    <t>IO_B15_L3_AD1_B17_P</t>
  </si>
  <si>
    <t>IO_B15_L3_AD1_A17_N</t>
  </si>
  <si>
    <t>IO_B15_L4_AD9_C19_P</t>
  </si>
  <si>
    <t>IO_B15_L4_AD9_B19_N</t>
  </si>
  <si>
    <t>IO_B15_L6_D15_P</t>
  </si>
  <si>
    <t>IO_B15_L6_VREF_D16_N</t>
  </si>
  <si>
    <t>IO_B15_L7_AD10_H16_P</t>
  </si>
  <si>
    <t>IO_B15_L7_AD10_G16_N</t>
  </si>
  <si>
    <t>IO_B15_L11_SRCC_AD12_G17_P</t>
  </si>
  <si>
    <t>IO_B15_L11_SRCC_AD12_F18_N</t>
  </si>
  <si>
    <t>IO_B15_L14_SRCC_H17_P</t>
  </si>
  <si>
    <t>IO_B15_L14_SRCC_H18_N</t>
  </si>
  <si>
    <t>IO_B15_L21_L19_P</t>
  </si>
  <si>
    <t>MGT_TX5_D2_P</t>
  </si>
  <si>
    <t>MGT_TX5_D1_N</t>
  </si>
  <si>
    <t>IO_B12_L12_MRCC_Y23_P</t>
  </si>
  <si>
    <t>IO_B12_L12_MRCC_AA24_N</t>
  </si>
  <si>
    <t>IO_B12_L18_AB21_P</t>
  </si>
  <si>
    <t>IO_B12_L18_AC21_N</t>
  </si>
  <si>
    <t>IO_B12_L1_U22_P</t>
  </si>
  <si>
    <t>IO_B12_L1_V22_N</t>
  </si>
  <si>
    <t>IO_B12_L6_V21_P</t>
  </si>
  <si>
    <t>IO_B12_L6_VREF_W21_N</t>
  </si>
  <si>
    <t>IO_B12_L11_SRCC_AA23_P</t>
  </si>
  <si>
    <t>IO_B12_L11_SRCC_AB24_N</t>
  </si>
  <si>
    <t>IO_B12_L13_MRCC_Y22_P</t>
  </si>
  <si>
    <t>IO_B12_L13_MRCC_AA22_N</t>
  </si>
  <si>
    <t>IO_B12_L3_V23_P</t>
  </si>
  <si>
    <t>IO_B12_L3_V24_N</t>
  </si>
  <si>
    <t>IO_B12_L4_U26_P</t>
  </si>
  <si>
    <t>IO_B12_L4_V26_N</t>
  </si>
  <si>
    <t>IO_B12_L10_Y25_P</t>
  </si>
  <si>
    <t>IO_B12_L10_Y26_N</t>
  </si>
  <si>
    <t>IO_B12_L16_AD23_P</t>
  </si>
  <si>
    <t>IO_B12_L16_AD24_N</t>
  </si>
  <si>
    <t>IO_B12_L20_AF24_P</t>
  </si>
  <si>
    <t>IO_B12_L20_AF25_N</t>
  </si>
  <si>
    <t>IO_B12_L24_AE22_P</t>
  </si>
  <si>
    <t>IO_B12_L24_AF22_N</t>
  </si>
  <si>
    <t>IO_B13_L1_K25_P</t>
  </si>
  <si>
    <t>IO_B13_L1_K26_N</t>
  </si>
  <si>
    <t>IO_B13_L2_R26_P</t>
  </si>
  <si>
    <t>IO_B13_L2_P26_N</t>
  </si>
  <si>
    <t>IO_B13_L3_M25_P</t>
  </si>
  <si>
    <t>IO_B13_L3_L25_N</t>
  </si>
  <si>
    <t>IO_B13_L11_SRCC_P23_P</t>
  </si>
  <si>
    <t>IO_B13_L11_SRCC_N23_N</t>
  </si>
  <si>
    <t>FPGA_V_P</t>
  </si>
  <si>
    <t>FPGA_V_N</t>
  </si>
  <si>
    <t>IO_B5_L3_N21_P</t>
  </si>
  <si>
    <t>IO_B5_L3_N22_N</t>
  </si>
  <si>
    <t>IO_B5_L1_R21_P</t>
  </si>
  <si>
    <t>IO_B5_L1_R22_N</t>
  </si>
  <si>
    <t>IO_B5_L0_U21_P</t>
  </si>
  <si>
    <t>IO_B5_L0_U22_N</t>
  </si>
  <si>
    <t>IO_B5_L2_P21_P</t>
  </si>
  <si>
    <t>IO_B5_L2_P22_N</t>
  </si>
  <si>
    <t>IO_B5_L4_M21_P</t>
  </si>
  <si>
    <t>IO_B5_L4_M22_N</t>
  </si>
  <si>
    <t>IO_B12_L15_W20_P</t>
  </si>
  <si>
    <t>IO_B12_L15_Y21_N</t>
  </si>
  <si>
    <t>IO_B12_L17_AB22_P</t>
  </si>
  <si>
    <t>IO_B12_L17_AC22_N</t>
  </si>
  <si>
    <t>IO_B12_L21_AD26_P</t>
  </si>
  <si>
    <t>IO_B12_L21_AE26_N</t>
  </si>
  <si>
    <t>IO_B12_L23_AD25_P</t>
  </si>
  <si>
    <t>IO_B12_L23_AE25_N</t>
  </si>
  <si>
    <t>IO_B12_L8_W23_P</t>
  </si>
  <si>
    <t>IO_B12_L8_W24_N</t>
  </si>
  <si>
    <t>IO_B12_L2_U24_P</t>
  </si>
  <si>
    <t>IO_B12_L2_U25_N</t>
  </si>
  <si>
    <t>IO_B12_L14_SRCC_AC23_P</t>
  </si>
  <si>
    <t>IO_B12_L14_SRCC_AC24_N</t>
  </si>
  <si>
    <t>IO_B12_L5_W25_P</t>
  </si>
  <si>
    <t>IO_B12_L5_W26_N</t>
  </si>
  <si>
    <t>IO_B12_L7_AA25_P</t>
  </si>
  <si>
    <t>IO_B12_L7_AB25_N</t>
  </si>
  <si>
    <t>IO_B12_L9_AB26_P</t>
  </si>
  <si>
    <t>IO_B12_L9_AC26_N</t>
  </si>
  <si>
    <t>IO_B12_L19_AD21_P</t>
  </si>
  <si>
    <t>IO_B12_L19_VREF_AE21_N</t>
  </si>
  <si>
    <t>IO_B12_L22_AE23_P</t>
  </si>
  <si>
    <t>IO_B12_L22_AF23_N</t>
  </si>
  <si>
    <t>IO_B13_L12_MRCC_N21_P</t>
  </si>
  <si>
    <t>IO_B13_L12_MRCC_N22_N</t>
  </si>
  <si>
    <t>IO_B13_L5_N26_P</t>
  </si>
  <si>
    <t>IO_B13_L5_M26_N</t>
  </si>
  <si>
    <t>IO_B13_L6_R25_P</t>
  </si>
  <si>
    <t>IO_B13_L6_P25_N</t>
  </si>
  <si>
    <t>IO_B13_L8_M24_P</t>
  </si>
  <si>
    <t>IO_B13_L8_L24_N</t>
  </si>
  <si>
    <t>IO_B13_L15_T24_P</t>
  </si>
  <si>
    <t>IO_B13_L15_T25_N</t>
  </si>
  <si>
    <t xml:space="preserve"> </t>
  </si>
  <si>
    <t xml:space="preserve">Please read the notes and </t>
  </si>
  <si>
    <t>disclaimers worksheet.</t>
  </si>
  <si>
    <t>CA1-specific: The configuration voltage is always 3.3V. For compatibility with future modules, Enclustra recommends powering bank 6 with 3.3V. The allowed voltage range for bank 6 is 1.2-3.3V.</t>
  </si>
  <si>
    <t>SA1-specific: The IO_B3B_CLK0_B31_*_B32_* pair is connected to the two FPGA pin pairs B31 and B32. This pair can be used as LVDS receive using the B31 pair and LVDS transmit using the B32 pair. It is important that the FPGA design only uses one of the pin pairs. The FPGA design should drive 'Z' to both unused pins of the other pin pair to prevent contention. These pins are regular I/O pins for non-differential applications.</t>
  </si>
  <si>
    <t>ZX5-specific: All IO_*_LS pins are level shifted from the specific bank voltage to VCC_CFG_MIO using NTS0102 or similar voltage translators. The voltage levels on the module connector are LVCMOS with the VCC_CFG_MIO voltage. The IO standard used in the FPGA design should be LVCMOS with the voltage on the specific bank. These pins have a pullup of around 10kOhm.</t>
  </si>
  <si>
    <t>ZX1-specific: All MGT_REFCLK*_B* pairs are MGT_REFCLK pairs for the Z-7045 device and NOT connected to the specified bank. For the Z-7030 device, these pin pairs are connected to the specified bank and are NOT usable as MGT_REFCLK inputs.</t>
  </si>
  <si>
    <t>ZX1-specific: All MGT_TX*_B* pairs are MGT_TX pairs for the Z-7045 device and NOT connected to the specified bank. For the Z-7030 device, these pin pairs are connected to the specified bank and are NOT usable as MGT_TX outputs.</t>
  </si>
  <si>
    <t>ZX1-specific: All MGT_RX*_NC* pairs are MGT_RX pairs for the Z-7045 device. For the Z-7030 device, these pin pairs are NOT connected to the FPGA (no connect).</t>
  </si>
  <si>
    <t>9.</t>
  </si>
  <si>
    <t>FPGA vendor</t>
  </si>
  <si>
    <t>FPGA family</t>
  </si>
  <si>
    <t>FPGA device(s)</t>
  </si>
  <si>
    <t>FPGA package</t>
  </si>
  <si>
    <t>Board revision</t>
  </si>
  <si>
    <t>Board status</t>
  </si>
  <si>
    <t>Last update</t>
  </si>
  <si>
    <t>SIO2_SDCD#</t>
  </si>
  <si>
    <t>SIO1_CPULED#</t>
  </si>
  <si>
    <t>IN_B5_CLK6_T21</t>
  </si>
  <si>
    <t>IN_B5_CLK7_T22</t>
  </si>
  <si>
    <t>IN_B2_CLK1_T2_P</t>
  </si>
  <si>
    <t>IN_B2_CLK1_T1_N</t>
  </si>
  <si>
    <t>IN_B4_CLK7_AA12_P</t>
  </si>
  <si>
    <t>IN_B4_CLK7_AB12_N</t>
  </si>
  <si>
    <t>IN_B3_CLK6_AA11_P</t>
  </si>
  <si>
    <t>IN_B3_CLK6_AB11_N</t>
  </si>
  <si>
    <t>IN_B6_CLK4_G21</t>
  </si>
  <si>
    <t>IN_B6_CLK5_G22</t>
  </si>
  <si>
    <t>IO_B2_S_VREF_M5</t>
  </si>
  <si>
    <t>IO_B3_S_VREF_U11</t>
  </si>
  <si>
    <t>IO_B4_S_VREF_V12</t>
  </si>
  <si>
    <t>IO_B5_S_VREF_P20</t>
  </si>
  <si>
    <t>IO_B5_S_VREF_N19</t>
  </si>
  <si>
    <t>SX 270/480</t>
  </si>
  <si>
    <t>VMON_MGT</t>
  </si>
  <si>
    <t>IO_B4A_RX_B46_AG21_P</t>
  </si>
  <si>
    <t>IO_B4A_RX_B46_AH20_N</t>
  </si>
  <si>
    <t>IO_B2A_L19_AB11_PERST#_P</t>
  </si>
  <si>
    <t>VMON_INT</t>
  </si>
  <si>
    <t>FX3_DQ10_B3B_L14_H1_P</t>
  </si>
  <si>
    <t>FX3_DQ11_B3B_L14_G1_N</t>
  </si>
  <si>
    <t>FX3_DQ3_B3B_L11_RZQ_K2_P</t>
  </si>
  <si>
    <t>FX3_DQ6_B3B_L11_J2_N</t>
  </si>
  <si>
    <t>FX3_DQ4_B3B_L17_L1_P</t>
  </si>
  <si>
    <t>FX3_DQ7_B3B_L17_K1_N</t>
  </si>
  <si>
    <t>FX3_DQ15_B3B_L1_P3_P</t>
  </si>
  <si>
    <t>FX3_PKTEND#_B3B_L1_P4_N</t>
  </si>
  <si>
    <t>FX3_DQ5_B3B_L4_R4_P</t>
  </si>
  <si>
    <t>FX3_DQ2_B3B_L4_R5_N</t>
  </si>
  <si>
    <t>FX3_FLAGB_B3B_L18_T1_P</t>
  </si>
  <si>
    <t>FX3_GPIO26_B3B_L18_R1_N</t>
  </si>
  <si>
    <t>FX3_A1_B3B_L3_T6_P</t>
  </si>
  <si>
    <t>FX3_GPIO27_B3B_L3_T7_N</t>
  </si>
  <si>
    <t>FX3_DQ17_B3B_L19_U3_P</t>
  </si>
  <si>
    <t>FX3_DQ20_B3B_L19_U4_N</t>
  </si>
  <si>
    <t>FX3_DQ31_B3B_L13_CLK0_N1_P</t>
  </si>
  <si>
    <t>FX3_DQ24_B3B_L13_CLK0_M1_N</t>
  </si>
  <si>
    <t>FX3_DQ23_B3B_L20_V1_P</t>
  </si>
  <si>
    <t>FX3_DQ22_B3B_L20_U1_N</t>
  </si>
  <si>
    <t>FX3_DQ25_B3B_L22_V5_P</t>
  </si>
  <si>
    <t>FX3_DQ29_B3B_L22_V6_N</t>
  </si>
  <si>
    <t>FX3_DQ18_B3B_L23_V2_N</t>
  </si>
  <si>
    <t>FX3_DQ21_B3B_L23_W2_P</t>
  </si>
  <si>
    <t>FX3_DQ16_B3B_L24_V3_N</t>
  </si>
  <si>
    <t>FX3_DQ19_B3B_L24_W3_P</t>
  </si>
  <si>
    <t>FX3_DQ26_B3B_L21_V7_N</t>
  </si>
  <si>
    <t>FX3_DQ27_B3B_L21_U6_P</t>
  </si>
  <si>
    <t>FX3_DQ28_B3B_L12_CLK1_L3_N</t>
  </si>
  <si>
    <t>FX3_DQ30_B3B_L12_CLK1_L2_P</t>
  </si>
  <si>
    <t>FX3_A0_B3B_L5_U5_N</t>
  </si>
  <si>
    <t>FX3_GPIO25_B3B_L5_T4_P</t>
  </si>
  <si>
    <t>FX3_GPIO23_B3B_L16_T3_N</t>
  </si>
  <si>
    <t>FX3_SLWR#_B3B_L16_T2_P</t>
  </si>
  <si>
    <t>FX3_SLRD#_B3B_L15_P2_N</t>
  </si>
  <si>
    <t>FX3_FLAGA_B3B_L15_R2_P</t>
  </si>
  <si>
    <t>FX3_SLCS#_B3B_L9_N3_N</t>
  </si>
  <si>
    <t>FX3_DQ14_B3B_L9_N2_P</t>
  </si>
  <si>
    <t>FX3_DQ13_B3B_L7_M4_N</t>
  </si>
  <si>
    <t>FX3_DQ9_B3B_L7_M3_P</t>
  </si>
  <si>
    <t>FX3_DQ1_B3B_L8_L4_N</t>
  </si>
  <si>
    <t>FX3_DQ0_B3B_L8_K4_P</t>
  </si>
  <si>
    <t>FX3_DQ12_B3B_L10_J3_N</t>
  </si>
  <si>
    <t>FX3_DQ8_B3B_L10_H2_P</t>
  </si>
  <si>
    <t>FMC_HA23_P</t>
  </si>
  <si>
    <t>FMC_HA23_N</t>
  </si>
  <si>
    <t>FMC_HA22_P</t>
  </si>
  <si>
    <t>FMC_HA22_N</t>
  </si>
  <si>
    <t>FMC_HB01_N</t>
  </si>
  <si>
    <t>FMC_HB01_P</t>
  </si>
  <si>
    <t>FMC_HB03_N</t>
  </si>
  <si>
    <t>FMC_HB03_P</t>
  </si>
  <si>
    <t>FMC_HB02_N</t>
  </si>
  <si>
    <t>FMC_HB02_P</t>
  </si>
  <si>
    <t>FMC_HB08_P</t>
  </si>
  <si>
    <t>FMC_HB08_N</t>
  </si>
  <si>
    <t>FMC_HB06_CC_P</t>
  </si>
  <si>
    <t>FMC_HB06_CC_N</t>
  </si>
  <si>
    <t>FMC_HB09_P</t>
  </si>
  <si>
    <t>FMC_HB09_N</t>
  </si>
  <si>
    <t>FMC_HB07_P</t>
  </si>
  <si>
    <t>FMC_HB07_N</t>
  </si>
  <si>
    <t>FMC_HB04_P</t>
  </si>
  <si>
    <t>FMC_HB04_N</t>
  </si>
  <si>
    <t>FMC_HB05_P</t>
  </si>
  <si>
    <t>FMC_HB05_N</t>
  </si>
  <si>
    <t>FMC_HB00_CC_P</t>
  </si>
  <si>
    <t>FMC_HB00_CC_N</t>
  </si>
  <si>
    <t>- (NC_B3B_T8)</t>
  </si>
  <si>
    <t>- (NC_B3B_T9)</t>
  </si>
  <si>
    <t>- (NC_B3B_U8)</t>
  </si>
  <si>
    <t>- (NC_B3B_V8)</t>
  </si>
  <si>
    <t>FMC_HA03_P</t>
  </si>
  <si>
    <t>FMC_HA03_N</t>
  </si>
  <si>
    <t>FMC_HA02_P</t>
  </si>
  <si>
    <t>FMC_HA02_N</t>
  </si>
  <si>
    <t>FMC_CLK3_BIDIR_P</t>
  </si>
  <si>
    <t>FMC_CLK3_BIDIR_N</t>
  </si>
  <si>
    <t>FMC_HA07_P</t>
  </si>
  <si>
    <t>FMC_HA07_N</t>
  </si>
  <si>
    <t>FMC_HA01_CC_P</t>
  </si>
  <si>
    <t>FMC_HA01_CC_N</t>
  </si>
  <si>
    <t>FMC_HA04_P</t>
  </si>
  <si>
    <t>FMC_HA04_N</t>
  </si>
  <si>
    <t>FMC_HA05_P</t>
  </si>
  <si>
    <t>FMC_HA05_N</t>
  </si>
  <si>
    <t>FMC_HA08_P</t>
  </si>
  <si>
    <t>FMC_HA08_N</t>
  </si>
  <si>
    <t>FMC_HA09_P</t>
  </si>
  <si>
    <t>FMC_HA09_N</t>
  </si>
  <si>
    <t>FMC_HA00_CC_P</t>
  </si>
  <si>
    <t>FMC_HA00_CC_N</t>
  </si>
  <si>
    <t>FMC_HA06_P</t>
  </si>
  <si>
    <t>FMC_HA06_N</t>
  </si>
  <si>
    <t>FMC_CLK2_BIDIR_P</t>
  </si>
  <si>
    <t>FMC_CLK2_BIDIR_N</t>
  </si>
  <si>
    <t>IO_B15_L21_L20_N</t>
  </si>
  <si>
    <t>IO_B15_L22_K16_P</t>
  </si>
  <si>
    <t>IO_B15_L22_K17_N</t>
  </si>
  <si>
    <t>IO_B15_L16_F20_N</t>
  </si>
  <si>
    <t>IO_B15_L16_G19_P</t>
  </si>
  <si>
    <t>IO_B15_L18_G20_N</t>
  </si>
  <si>
    <t>IO_B15_L18_H19_P</t>
  </si>
  <si>
    <t>IO_B15_L19_VREF_J20_N</t>
  </si>
  <si>
    <t>IO_B15_L19_K20_P</t>
  </si>
  <si>
    <t>R4</t>
  </si>
  <si>
    <t>Mercury+ EV2</t>
  </si>
  <si>
    <t>Xilinx FPGA/SoC Modules</t>
  </si>
  <si>
    <t>Altera FPGA/SoC Modules</t>
  </si>
  <si>
    <t>VCC_IO_B64</t>
  </si>
  <si>
    <t>VCC_IO_B65</t>
  </si>
  <si>
    <t>VCC_IO_B66</t>
  </si>
  <si>
    <t>Mercury+ KX2</t>
  </si>
  <si>
    <t>IO_B12_U21</t>
  </si>
  <si>
    <t>IO_B12_Y20</t>
  </si>
  <si>
    <t>VCC_CFG_B14</t>
  </si>
  <si>
    <t>IO_B14_L7_D21_P</t>
  </si>
  <si>
    <t>IO_B14_L7_C22_N</t>
  </si>
  <si>
    <t>IO_B14_L10_C21_P</t>
  </si>
  <si>
    <t>IO_B14_L10_B21_N</t>
  </si>
  <si>
    <t>IO_B14_L4_A23_P</t>
  </si>
  <si>
    <t>IO_B14_L4_A24_N</t>
  </si>
  <si>
    <t>IO_B14_L5_D26_P</t>
  </si>
  <si>
    <t>IO_B14_L5_C26_N</t>
  </si>
  <si>
    <t>IO_B14_L11_SRCC_D23_P</t>
  </si>
  <si>
    <t>IO_B14_L11_SRCC_D24_N</t>
  </si>
  <si>
    <t>IO_B14_L8_B20_P</t>
  </si>
  <si>
    <t>IO_B14_L8_A20_N</t>
  </si>
  <si>
    <t>IO_B14_L9_E21_P</t>
  </si>
  <si>
    <t>IO_B14_L9_E22_N</t>
  </si>
  <si>
    <t>IO_B14_L12_MRCC_F22_P</t>
  </si>
  <si>
    <t>IO_B14_L12_MRCC_E23_N</t>
  </si>
  <si>
    <t>MGT_REFCLK2_D6_P</t>
  </si>
  <si>
    <t>MGT_REFCLK2_D5_N</t>
  </si>
  <si>
    <t>MGT_REFCLK3_F6_P</t>
  </si>
  <si>
    <t>MGT_REFCLK3_F5_N</t>
  </si>
  <si>
    <t>MGT_TX0_P2_P</t>
  </si>
  <si>
    <t>MGT_TX0_P1_N</t>
  </si>
  <si>
    <t>MGT_TX1_M2_P</t>
  </si>
  <si>
    <t>MGT_TX1_M1_N</t>
  </si>
  <si>
    <t>MGT_TX2_K2_P</t>
  </si>
  <si>
    <t>MGT_TX2_K1_N</t>
  </si>
  <si>
    <t>MGT_TX3_H2_P</t>
  </si>
  <si>
    <t>MGT_TX3_H1_N</t>
  </si>
  <si>
    <t>MGT_TX4_F2_P</t>
  </si>
  <si>
    <t>MGT_TX4_F1_N</t>
  </si>
  <si>
    <t>MGT_TX6_B2_P</t>
  </si>
  <si>
    <t>MGT_TX6_B1_N</t>
  </si>
  <si>
    <t>MGT_TX7_A4_P</t>
  </si>
  <si>
    <t>MGT_TX7_A3_N</t>
  </si>
  <si>
    <t>MGT_REFCLK0_H6_P</t>
  </si>
  <si>
    <t>MGT_REFCLK0_H5_N</t>
  </si>
  <si>
    <t>MGT_REFCLK1_K6_P</t>
  </si>
  <si>
    <t>MGT_REFCLK1_K5_N</t>
  </si>
  <si>
    <t>MGT_RX0_R4_P</t>
  </si>
  <si>
    <t>MGT_RX0_R3_N</t>
  </si>
  <si>
    <t>MGT_RX1_N4_P</t>
  </si>
  <si>
    <t>MGT_RX1_N3_N</t>
  </si>
  <si>
    <t>MGT_RX2_L4_P</t>
  </si>
  <si>
    <t>MGT_RX2_L3_N</t>
  </si>
  <si>
    <t>MGT_RX3_J4_P</t>
  </si>
  <si>
    <t>MGT_RX3_J3_N</t>
  </si>
  <si>
    <t>MGT_RX4_G4_P</t>
  </si>
  <si>
    <t>MGT_RX4_G3_N</t>
  </si>
  <si>
    <t>MGT_RX5_E4_P</t>
  </si>
  <si>
    <t>MGT_RX5_E3_N</t>
  </si>
  <si>
    <t>MGT_RX6_C4_P</t>
  </si>
  <si>
    <t>MGT_RX6_C3_N</t>
  </si>
  <si>
    <t>MGT_RX7_B6_P</t>
  </si>
  <si>
    <t>MGT_RX7_B5_N</t>
  </si>
  <si>
    <t>IO_B15_L5_AD2_C17_P</t>
  </si>
  <si>
    <t>IO_B15_L5_AD2_C18_N</t>
  </si>
  <si>
    <t>IO_B15_L23_M17_P</t>
  </si>
  <si>
    <t>IO_B15_L23_L18_N</t>
  </si>
  <si>
    <t>IO_B15_L24_L17_P</t>
  </si>
  <si>
    <t>IO_B15_L24_K18_N</t>
  </si>
  <si>
    <t>IO_B13_N16</t>
  </si>
  <si>
    <t>IO_B13_U16</t>
  </si>
  <si>
    <t>IO_B16_J8</t>
  </si>
  <si>
    <t>IO_B16_J14</t>
  </si>
  <si>
    <t>IO_B13_L22_N18_P</t>
  </si>
  <si>
    <t>IO_B13_L22_M19_N</t>
  </si>
  <si>
    <t>IO_B13_L7_N19_P</t>
  </si>
  <si>
    <t>IO_B13_L7_M20_N</t>
  </si>
  <si>
    <t>IO_B13_L20_P16_P</t>
  </si>
  <si>
    <t>IO_B13_L20_N17_N</t>
  </si>
  <si>
    <t>IO_B13_L24_R18_P</t>
  </si>
  <si>
    <t>IO_B13_L24_P18_N</t>
  </si>
  <si>
    <t>IO_B13_L16_T20_P</t>
  </si>
  <si>
    <t>IO_B13_L16_R20_N</t>
  </si>
  <si>
    <t>IO_B13_L13_MRCC_R21_P</t>
  </si>
  <si>
    <t>IO_B13_L13_MRCC_P21_N</t>
  </si>
  <si>
    <t>IO_B13_L17_T22_P</t>
  </si>
  <si>
    <t>IO_B13_L17_T23_N</t>
  </si>
  <si>
    <t>IO_B13_L23_U17_P</t>
  </si>
  <si>
    <t>IO_B13_L23_T17_N</t>
  </si>
  <si>
    <t>IO_B15_K15</t>
  </si>
  <si>
    <t>IO_B15_M16</t>
  </si>
  <si>
    <t>IO_B15_L9_AD11_J15_P</t>
  </si>
  <si>
    <t>IO_B15_L9_AD11_J16_N</t>
  </si>
  <si>
    <t>IO_B13_L10_M21_P</t>
  </si>
  <si>
    <t>IO_B13_L10_M22_N</t>
  </si>
  <si>
    <t>IO_B13_L14_SRCC_R22_P</t>
  </si>
  <si>
    <t>IO_B13_L14_SRCC_R23_N</t>
  </si>
  <si>
    <t>IO_B13_L4_P24_P</t>
  </si>
  <si>
    <t>IO_B13_L4_N24_N</t>
  </si>
  <si>
    <t>IO_B13_L9_P19_P</t>
  </si>
  <si>
    <t>IO_B13_L9_P20_N</t>
  </si>
  <si>
    <t>IO_B13_L6_VREF_P25_N</t>
  </si>
  <si>
    <t>IO_B13_L21_R16_P</t>
  </si>
  <si>
    <t>IO_B13_L21_R17_N</t>
  </si>
  <si>
    <t>IO_B13_L19_T18_P</t>
  </si>
  <si>
    <t>IO_B13_L19_VREF_T19_N</t>
  </si>
  <si>
    <t>IO_B13_L18_U19_P</t>
  </si>
  <si>
    <t>IO_B13_L18_U20_N</t>
  </si>
  <si>
    <t>Mercury+ XU1</t>
  </si>
  <si>
    <t>Mercury XU5</t>
  </si>
  <si>
    <t>Mercury+ XU7</t>
  </si>
  <si>
    <t>IO_B48_L2_AD14_A12_P</t>
  </si>
  <si>
    <t>IO_B48_L2_AD14_A11_N</t>
  </si>
  <si>
    <t>IO_B48_L1_AD15_C12_P</t>
  </si>
  <si>
    <t>IO_B48_L1_AD15_B11_N</t>
  </si>
  <si>
    <t>IO_B48_L3_AD13_B10_P</t>
  </si>
  <si>
    <t>IO_B48_L3_AD13_A10_N</t>
  </si>
  <si>
    <t>IO_B48_L4_AD12_D11_P</t>
  </si>
  <si>
    <t>IO_B48_L4_AD12_C11_N</t>
  </si>
  <si>
    <t>IO_B48_L6_HDGC_E10_P</t>
  </si>
  <si>
    <t>IO_B48_L6_HDGC_D10_N</t>
  </si>
  <si>
    <t>VCC_IO_B47</t>
  </si>
  <si>
    <t>IO_B48_L5_HDGC_E12_P</t>
  </si>
  <si>
    <t>IO_B48_L5_HDGC_D12_N</t>
  </si>
  <si>
    <t>IO_B47_L6_HDGC_AD6_E14_P</t>
  </si>
  <si>
    <t>IO_B47_L6_HDGC_AD6_E13_N</t>
  </si>
  <si>
    <t>IO_B47_L4_AD8_C14_P</t>
  </si>
  <si>
    <t>IO_B47_L4_AD8_C13_N</t>
  </si>
  <si>
    <t>IO_B47_L1_AD11_B15_P</t>
  </si>
  <si>
    <t>IO_B47_L1_AD11_A15_N</t>
  </si>
  <si>
    <t>IO_B47_L2_AD10_B14_P</t>
  </si>
  <si>
    <t>IO_B47_L2_AD10_A14_N</t>
  </si>
  <si>
    <t>IO_B47_L3_AD9_B13_P</t>
  </si>
  <si>
    <t>IO_B47_L3_AD9_A13_N</t>
  </si>
  <si>
    <t>IO_B47_L12_AD0_H14_P</t>
  </si>
  <si>
    <t>IO_B47_L12_AD0_H13_N</t>
  </si>
  <si>
    <t>IO_B47_L5_HDGC_AD7_D15_P</t>
  </si>
  <si>
    <t>IO_B47_L5_HDGC_AD7_D14_N</t>
  </si>
  <si>
    <t>PS_MIO51_SDCLK</t>
  </si>
  <si>
    <t>PS_MIO50_SDCMD</t>
  </si>
  <si>
    <t>PS_MIO46_SDD0</t>
  </si>
  <si>
    <t>PS_MIO47_SDD1</t>
  </si>
  <si>
    <t>PS_MIO48_SDD2</t>
  </si>
  <si>
    <t>PS_MIO49_SDD3</t>
  </si>
  <si>
    <t>PS_MIO38_UARTRX</t>
  </si>
  <si>
    <t>PS_MIO39_UARTTX</t>
  </si>
  <si>
    <t>IO_B48_L8_HDGC_G10_P</t>
  </si>
  <si>
    <t>IO_B48_L8_HDGC_F10_N</t>
  </si>
  <si>
    <t>IO_B48_L10_AD10_H12_P</t>
  </si>
  <si>
    <t>IO_B48_L10_AD10_G11_N</t>
  </si>
  <si>
    <t>IO_B48_L11_AD9_H11_N</t>
  </si>
  <si>
    <t>IO_B48_L12_AD8_J11_P</t>
  </si>
  <si>
    <t>IO_B48_L12_AD8_J10_N</t>
  </si>
  <si>
    <t>VCC_IO_B48</t>
  </si>
  <si>
    <t>IO_B48_L9_AD11_K13_P</t>
  </si>
  <si>
    <t>IO_B48_L9_AD11_K12_N</t>
  </si>
  <si>
    <t>IO_B48_L7_HDGC_F12_P</t>
  </si>
  <si>
    <t>IO_B48_L7_HDGC_F11_N</t>
  </si>
  <si>
    <t>IO_B47_L8_HDGC_AD4_G13_P</t>
  </si>
  <si>
    <t>IO_B47_L8_HDGC_AD4_F13_N</t>
  </si>
  <si>
    <t>IO_B47_L11_AD1_K14_P</t>
  </si>
  <si>
    <t>IO_B47_L11_AD1_J14_N</t>
  </si>
  <si>
    <t>IO_B47_L10_AD2_K15_P</t>
  </si>
  <si>
    <t>IO_B47_L10_AD2_J15_N</t>
  </si>
  <si>
    <t>IO_B47_L9_AD3_G15_P</t>
  </si>
  <si>
    <t>IO_B47_L9_AD3_G14_N</t>
  </si>
  <si>
    <t>IO_B47_L7_HDGC_AD5_F15_P</t>
  </si>
  <si>
    <t>IO_B47_L7_HDGC_AD5_E15_N</t>
  </si>
  <si>
    <t>PS_MIO40</t>
  </si>
  <si>
    <t>PS_MIO41</t>
  </si>
  <si>
    <t>IO_B64_AG4_LS</t>
  </si>
  <si>
    <t>IO_B64_AJ1_LS</t>
  </si>
  <si>
    <t>IO_B64_AH11_LS</t>
  </si>
  <si>
    <t>IO_B64_AG9_LS</t>
  </si>
  <si>
    <t>PS_MIO45_SDCD#</t>
  </si>
  <si>
    <t>PS_MIO44</t>
  </si>
  <si>
    <t>PS_MIO43</t>
  </si>
  <si>
    <t>PS_DONE</t>
  </si>
  <si>
    <t>MGT_B230_REFCLK1_E8_P</t>
  </si>
  <si>
    <t>MGT_B230_REFCLK1_E7_N</t>
  </si>
  <si>
    <t>MGTPS_REFCLK1_M25_P</t>
  </si>
  <si>
    <t>MGTPS_REFCLK1_M26_N</t>
  </si>
  <si>
    <t>MGTPS_TX0_R27_P</t>
  </si>
  <si>
    <t>MGTPS_TX0_R28_N</t>
  </si>
  <si>
    <t>MGTPS_TX1_N27_P</t>
  </si>
  <si>
    <t>MGTPS_TX1_N28_N</t>
  </si>
  <si>
    <t>MGTPS_TX2_L27_P</t>
  </si>
  <si>
    <t>MGTPS_TX2_L28_N</t>
  </si>
  <si>
    <t>MGTPS_TX3_J27_P</t>
  </si>
  <si>
    <t>MGTPS_TX3_J28_N</t>
  </si>
  <si>
    <t>MGT_B230_TX0_D6_P</t>
  </si>
  <si>
    <t>MGT_B230_TX0_D5_N</t>
  </si>
  <si>
    <t>MGT_B230_TX1_C8_P</t>
  </si>
  <si>
    <t>MGT_B230_TX1_C7_N</t>
  </si>
  <si>
    <t>IO_B66_L12_GC_W7_P</t>
  </si>
  <si>
    <t>IO_B66_L12_GC_W6_N</t>
  </si>
  <si>
    <t>MGT_B230_TX2_B6_P</t>
  </si>
  <si>
    <t>MGT_B230_TX2_B5_N</t>
  </si>
  <si>
    <t>MGT_B230_TX3_A8_P</t>
  </si>
  <si>
    <t>MGT_B230_TX3_A7_N</t>
  </si>
  <si>
    <t>IO_B66_L6_AD6_U1_N</t>
  </si>
  <si>
    <t>IO_B66_L7_AD13_W5_P</t>
  </si>
  <si>
    <t>IO_B66_L7_AD13_Y5_N</t>
  </si>
  <si>
    <t>IO_B66_L8_AD5_V4_P</t>
  </si>
  <si>
    <t>IO_B66_L8_AD5_W4_N</t>
  </si>
  <si>
    <t>IO_B66_L9_AD12_U5_P</t>
  </si>
  <si>
    <t>IO_B66_L9_AD12_U4_N</t>
  </si>
  <si>
    <t>IO_B66_L10_AD4_U7_P</t>
  </si>
  <si>
    <t>IO_B66_L10_AD4_U6_N</t>
  </si>
  <si>
    <t>IO_B66_L17_AD10_U9_P</t>
  </si>
  <si>
    <t>IO_B66_L17_AD10_V9_N</t>
  </si>
  <si>
    <t>IO_B66_L18_AD2_U10_N</t>
  </si>
  <si>
    <t>IO_B66_L15_AD11_U11_P</t>
  </si>
  <si>
    <t>IO_B66_L15_AD11_V11_N</t>
  </si>
  <si>
    <t>IO_B66_L16_AD3_W11_P</t>
  </si>
  <si>
    <t>IO_B66_L16_AD3_W10_N</t>
  </si>
  <si>
    <t>IO_B66_L13_GC_U8_P</t>
  </si>
  <si>
    <t>IO_B66_L13_GC_V8_N</t>
  </si>
  <si>
    <t>IO_B66_L19_AD9_R10_P</t>
  </si>
  <si>
    <t>IO_B66_L20_AD1_P11_P</t>
  </si>
  <si>
    <t>IO_B66_L20_AD1_P10_N</t>
  </si>
  <si>
    <t>IO_B66_L22_AD0_N10_P</t>
  </si>
  <si>
    <t>IO_B66_L22_AD0_M10_N</t>
  </si>
  <si>
    <t>IO_B66_L21_AD8_N12_P</t>
  </si>
  <si>
    <t>IO_B66_L21_AD8_M12_N</t>
  </si>
  <si>
    <t>IO_B66_L14_GC_Y9_P</t>
  </si>
  <si>
    <t>IO_B66_L14_GC_Y8_N</t>
  </si>
  <si>
    <t>IO_B66_L23_L12_P</t>
  </si>
  <si>
    <t>IO_B66_L23_L11_N</t>
  </si>
  <si>
    <t>IO_B66_L24_L10_P</t>
  </si>
  <si>
    <t>IO_B66_L24_K10_N</t>
  </si>
  <si>
    <t>VMON_0V9</t>
  </si>
  <si>
    <t>MGTPS_REFCLK0_P25_P</t>
  </si>
  <si>
    <t>MGTPS_REFCLK0_P26_N</t>
  </si>
  <si>
    <t>MGT_B230_REFCLK0_G8_P</t>
  </si>
  <si>
    <t>MGT_B230_REFCLK0_G7_N</t>
  </si>
  <si>
    <t>MGTPS_RX0_T29_P</t>
  </si>
  <si>
    <t>MGTPS_RX0_T30_N</t>
  </si>
  <si>
    <t>MGTPS_RX1_P29_P</t>
  </si>
  <si>
    <t>MGTPS_RX1_P30_N</t>
  </si>
  <si>
    <t>MGTPS_RX2_M29_P</t>
  </si>
  <si>
    <t>MGTPS_RX2_M30_N</t>
  </si>
  <si>
    <t>MGTPS_RX3_K29_P</t>
  </si>
  <si>
    <t>MGTPS_RX3_K30_N</t>
  </si>
  <si>
    <t>MGT_B230_RX0_D2_P</t>
  </si>
  <si>
    <t>MGT_B230_RX0_D1_N</t>
  </si>
  <si>
    <t>MGT_B230_RX1_C4_P</t>
  </si>
  <si>
    <t>MGT_B230_RX1_C3_N</t>
  </si>
  <si>
    <t>MGT_B230_RX2_B2_P</t>
  </si>
  <si>
    <t>MGT_B230_RX2_B1_N</t>
  </si>
  <si>
    <t>MGT_B230_RX3_A4_P</t>
  </si>
  <si>
    <t>MGT_B230_RX3_A3_N</t>
  </si>
  <si>
    <t>IO_B65_L6_AD6_AB11_P</t>
  </si>
  <si>
    <t>IO_B65_L6_AD6_AB10_N</t>
  </si>
  <si>
    <t>IO_B65_L12_GC_AB8_P</t>
  </si>
  <si>
    <t>IO_B65_L12_GC_AC8_N</t>
  </si>
  <si>
    <t>IO_B65_L10_AD4_AA8_P</t>
  </si>
  <si>
    <t>IO_B65_L10_AD4_AA7_N</t>
  </si>
  <si>
    <t>IO_B65_L7_AD13_AB9_P</t>
  </si>
  <si>
    <t>IO_B65_L7_AD13_AC9_N</t>
  </si>
  <si>
    <t>IO_B65_L9_AD12_AD9_P</t>
  </si>
  <si>
    <t>IO_B65_L9_AD12_AE9_N</t>
  </si>
  <si>
    <t>IO_B65_L8_AD5_AD10_P</t>
  </si>
  <si>
    <t>IO_B65_L8_AD5_AE10_N</t>
  </si>
  <si>
    <t>IO_B65_L17_AD10_AD4_P</t>
  </si>
  <si>
    <t>IO_B65_L17_AD10_AE4_N</t>
  </si>
  <si>
    <t>IO_B65_L16_AD3_AD5_P</t>
  </si>
  <si>
    <t>IO_B65_L16_AD3_AE5_N</t>
  </si>
  <si>
    <t>IO_B65_L18_AD2_AB4_P</t>
  </si>
  <si>
    <t>IO_B65_L18_AD2_AC4_N</t>
  </si>
  <si>
    <t>IO_B65_L15_AD11_AA6_P</t>
  </si>
  <si>
    <t>IO_B65_L15_AD11_AA5_N</t>
  </si>
  <si>
    <t>IO_B65_L20_AD1_AE3_P</t>
  </si>
  <si>
    <t>IO_B65_L20_AD1_AE2_N</t>
  </si>
  <si>
    <t>IO_B65_L13_GC_AB6_P</t>
  </si>
  <si>
    <t>IO_B65_L13_GC_AB5_N</t>
  </si>
  <si>
    <t>IO_B65_L21_AD8_AC2_P</t>
  </si>
  <si>
    <t>IO_B65_L21_AD8_AD2_N</t>
  </si>
  <si>
    <t>IO_B65_L22_AD0_AC1_P</t>
  </si>
  <si>
    <t>IO_B65_L22_AD0_AD1_N</t>
  </si>
  <si>
    <t>IO_B65_L19_AD9_AB3_P</t>
  </si>
  <si>
    <t>IO_B65_L19_AD9_AC3_N</t>
  </si>
  <si>
    <t>IO_B65_L14_GC_AC6_P</t>
  </si>
  <si>
    <t>IO_B65_L14_GC_AD6_N</t>
  </si>
  <si>
    <t>IO_B65_L24_SDA_AA1_P</t>
  </si>
  <si>
    <t>IO_B65_L23_SCLK_AA3_P</t>
  </si>
  <si>
    <t>IO_B65_L23_AA2_N</t>
  </si>
  <si>
    <t>MGT_B229_REFCLK1_J8_P</t>
  </si>
  <si>
    <t>MGT_B229_REFCLK1_J7_N</t>
  </si>
  <si>
    <t>MGT_B228_REFCLK1_N8_P</t>
  </si>
  <si>
    <t>MGT_B228_REFCLK1_N7_N</t>
  </si>
  <si>
    <t>MGT_B229_TX0_J4_P</t>
  </si>
  <si>
    <t>MGT_B229_TX0_J3_N</t>
  </si>
  <si>
    <t>MGT_B229_TX1_H6_P</t>
  </si>
  <si>
    <t>MGT_B229_TX1_H5_N</t>
  </si>
  <si>
    <t>MGT_B229_TX2_F6_P</t>
  </si>
  <si>
    <t>MGT_B229_TX2_F5_N</t>
  </si>
  <si>
    <t>MGT_B229_TX3_E4_P</t>
  </si>
  <si>
    <t>MGT_B229_TX3_E3_N</t>
  </si>
  <si>
    <t>MGT_B228_TX0_P6_P</t>
  </si>
  <si>
    <t>MGT_B228_TX0_P5_N</t>
  </si>
  <si>
    <t>MGT_B228_TX1_N4_P</t>
  </si>
  <si>
    <t>MGT_B228_TX1_N3_N</t>
  </si>
  <si>
    <t>MGT_B228_TX2_M6_P</t>
  </si>
  <si>
    <t>MGT_B228_TX2_M5_N</t>
  </si>
  <si>
    <t>MGT_B228_TX3_K6_P</t>
  </si>
  <si>
    <t>MGT_B228_TX3_K5_N</t>
  </si>
  <si>
    <t>IO_B66_N11</t>
  </si>
  <si>
    <t>IO_B66_L5_AD14_U2_P</t>
  </si>
  <si>
    <t>IO_B66_L5_AD14_U3_N</t>
  </si>
  <si>
    <t>IO_B66_L4_AD7_V2_P</t>
  </si>
  <si>
    <t>IO_B66_L4_AD7_V1_N</t>
  </si>
  <si>
    <t>IO_B66_L3_AD15_W2_P</t>
  </si>
  <si>
    <t>IO_B66_L3_AD15_W1_N</t>
  </si>
  <si>
    <t>IO_B66_L11_GC_V7_P</t>
  </si>
  <si>
    <t>IO_B66_L11_GC_V6_N</t>
  </si>
  <si>
    <t>IO_B66_L2_Y2_P</t>
  </si>
  <si>
    <t>IO_B66_L2_Y1_N</t>
  </si>
  <si>
    <t>IO_B66_L1_Y4_P</t>
  </si>
  <si>
    <t>IO_B66_L1_Y3_N</t>
  </si>
  <si>
    <t>IO_B64_L8_AD5_AF10_P</t>
  </si>
  <si>
    <t>IO_B64_L8_AD5_AG10_N</t>
  </si>
  <si>
    <t>IO_B64_L7_AD13_AF8_P</t>
  </si>
  <si>
    <t>IO_B64_L7_AD13_AF7_N</t>
  </si>
  <si>
    <t>IO_B64_L12_GC_AG8_P</t>
  </si>
  <si>
    <t>IO_B64_L12_GC_AH8_N</t>
  </si>
  <si>
    <t>IO_B64_L9_AD12_AH9_P</t>
  </si>
  <si>
    <t>IO_B64_L9_AD12_AJ9_N</t>
  </si>
  <si>
    <t>IO_B64_L10_AD4_AK9_P</t>
  </si>
  <si>
    <t>IO_B64_L10_AD4_AK8_N</t>
  </si>
  <si>
    <t>IO_B64_L6_AD6_AJ10_P</t>
  </si>
  <si>
    <t>IO_B64_L6_AD6_AK10_N</t>
  </si>
  <si>
    <t>IO_B64_L3_AD15_AH12_P</t>
  </si>
  <si>
    <t>IO_B64_L3_AD15_AJ12_N</t>
  </si>
  <si>
    <t>IO_B64_L5_AD14_AJ11_P</t>
  </si>
  <si>
    <t>IO_B64_L5_AD14_AK11_N</t>
  </si>
  <si>
    <t>IO_B64_L4_AD7_AK13_P</t>
  </si>
  <si>
    <t>IO_B64_L4_AD7_AK12_N</t>
  </si>
  <si>
    <t>IO_B64_L11_GC_AH7_P</t>
  </si>
  <si>
    <t>IO_B64_L11_GC_AJ7_N</t>
  </si>
  <si>
    <t>IO_B64_L2_AG13_P</t>
  </si>
  <si>
    <t>IO_B64_L2_AH13_N</t>
  </si>
  <si>
    <t>IO_B64_L1_AF11_P</t>
  </si>
  <si>
    <t>IO_B64_L1_AG11_N</t>
  </si>
  <si>
    <t>MGT_B229_REFCLK0_L8_P</t>
  </si>
  <si>
    <t>MGT_B229_REFCLK0_L7_N</t>
  </si>
  <si>
    <t>MGT_B228_REFCLK0_R8_P</t>
  </si>
  <si>
    <t>MGT_B228_REFCLK0_R7_N</t>
  </si>
  <si>
    <t>MGT_B229_RX0_K2_P</t>
  </si>
  <si>
    <t>MGT_B229_RX0_K1_N</t>
  </si>
  <si>
    <t>MGT_B229_RX1_H2_P</t>
  </si>
  <si>
    <t>MGT_B229_RX1_H1_N</t>
  </si>
  <si>
    <t>MGT_B229_RX2_G4_P</t>
  </si>
  <si>
    <t>MGT_B229_RX2_G3_N</t>
  </si>
  <si>
    <t>MGT_B229_RX3_F2_P</t>
  </si>
  <si>
    <t>MGT_B229_RX3_F1_N</t>
  </si>
  <si>
    <t>MGT_B228_RX0_R4_P</t>
  </si>
  <si>
    <t>MGT_B228_RX0_R3_N</t>
  </si>
  <si>
    <t>MGT_B228_RX1_P2_P</t>
  </si>
  <si>
    <t>MGT_B228_RX1_P1_N</t>
  </si>
  <si>
    <t>MGT_B228_RX2_M2_P</t>
  </si>
  <si>
    <t>MGT_B228_RX2_M1_N</t>
  </si>
  <si>
    <t>MGT_B228_RX3_L4_P</t>
  </si>
  <si>
    <t>MGT_B228_RX3_L3_N</t>
  </si>
  <si>
    <t>IO_B65_L5_AD14_AA12_P</t>
  </si>
  <si>
    <t>IO_B65_L5_AD14_AA11_N</t>
  </si>
  <si>
    <t>IO_B65_L4_AD7_AD11_N</t>
  </si>
  <si>
    <t>IO_B65_L11_GC_AC7_P</t>
  </si>
  <si>
    <t>IO_B65_L11_GC_AD7_N</t>
  </si>
  <si>
    <t>IO_B65_L3_AD15_AD12_P</t>
  </si>
  <si>
    <t>IO_B65_L3_AD15_AE12_N</t>
  </si>
  <si>
    <t>IO_B65_L2_AE13_P</t>
  </si>
  <si>
    <t>IO_B65_L2_AF13_N</t>
  </si>
  <si>
    <t>IO_B65_L1_AB13_P</t>
  </si>
  <si>
    <t>IO_B65_L1_AC13_N</t>
  </si>
  <si>
    <t>IO_B64_L24_AF2_P</t>
  </si>
  <si>
    <t>IO_B64_L24_AF1_N</t>
  </si>
  <si>
    <t>IO_B64_L23_AF3_P</t>
  </si>
  <si>
    <t>IO_B64_L23_AG3_N</t>
  </si>
  <si>
    <t>IO_B64_L22_AD0_AG1_P</t>
  </si>
  <si>
    <t>IO_B64_L22_AD0_AH1_N</t>
  </si>
  <si>
    <t>IO_B64_L13_GC_AG6_P</t>
  </si>
  <si>
    <t>IO_B64_L13_GC_AG5_N</t>
  </si>
  <si>
    <t>IO_B64_L21_AD8_AJ2_P</t>
  </si>
  <si>
    <t>IO_B64_L21_AD8_AK2_N</t>
  </si>
  <si>
    <t>IO_B64_L20_AD1_AH3_P</t>
  </si>
  <si>
    <t>IO_B64_L20_AD1_AH2_N</t>
  </si>
  <si>
    <t>IO_B64_L19_AD9_AK4_P</t>
  </si>
  <si>
    <t>IO_B64_L19_AD9_AK3_N</t>
  </si>
  <si>
    <t>IO_B64_L18_AD2_AH4_P</t>
  </si>
  <si>
    <t>IO_B64_L18_AD2_AJ4_N</t>
  </si>
  <si>
    <t>IO_B64_L14_GC_AH6_P</t>
  </si>
  <si>
    <t>IO_B64_L14_GC_AJ6_N</t>
  </si>
  <si>
    <t>IO_B64_L17_AD10_AJ5_P</t>
  </si>
  <si>
    <t>IO_B64_L17_AD10_AK5_N</t>
  </si>
  <si>
    <t>IO_B64_L16_AD3_AF6_P</t>
  </si>
  <si>
    <t>IO_B64_L16_AD3_AF5_N</t>
  </si>
  <si>
    <t>IO_B64_L15_AD11_AK7_P</t>
  </si>
  <si>
    <t>IO_B64_L15_AD11_AK6_N</t>
  </si>
  <si>
    <t>ZU6EG/ZU9EG/ZU15EG</t>
  </si>
  <si>
    <t>MGT_REFCLK0_R5_N</t>
  </si>
  <si>
    <t>FFG676</t>
  </si>
  <si>
    <t>SA1/SA2-specific: All IO_B*_RX_* pairs are LVDS receive capable by the attached FPGA. For LVDS transmit options, check the FPGA datasheet. These pins are regular I/O pins for non-differential applications.</t>
  </si>
  <si>
    <t>SA1/SA2-specific: All IO_B*_TX_* pairs are LVDS transmit capable by the attached FPGA. For LVDS receive options, check the FPGA datasheet. These pins are regular I/O pins for non-differential applications.</t>
  </si>
  <si>
    <t>SA1/SA2-specific: All IO_B*_CLK_* pairs are LVDS receive capable by the attached FPGA. These pairs can also be used as clock inputs. For LVDS transmit options, check the FPGA datasheet. These pins are regular I/O pins for non-differential applications.</t>
  </si>
  <si>
    <t>IO_B48_L11_AD9_J12_P</t>
  </si>
  <si>
    <t>IO_B66_L18_AD2_T11_P</t>
  </si>
  <si>
    <t>IO_B66_L19_AD9_T10_N</t>
  </si>
  <si>
    <t>IO_B66_L6_AD6_T1_P</t>
  </si>
  <si>
    <t>IO_B66_Y10</t>
  </si>
  <si>
    <t>IO_B34_L1_J8_P</t>
  </si>
  <si>
    <t>VCC_USBMOD_P</t>
  </si>
  <si>
    <t>USBMOD_ID_N</t>
  </si>
  <si>
    <t>IOB_CLK0_P</t>
  </si>
  <si>
    <t>IOB_CLK1_N</t>
  </si>
  <si>
    <t>FMC_DP4_A21_C2M_P</t>
  </si>
  <si>
    <t>FMC_DP4_A21_C2M_N</t>
  </si>
  <si>
    <t>FMC_DP5_A20_C2M_P</t>
  </si>
  <si>
    <t>FMC_DP5_A20_C2M_N</t>
  </si>
  <si>
    <t>FMC_DP6_A19_C2M_P</t>
  </si>
  <si>
    <t>FMC_DP6_A19_C2M_N</t>
  </si>
  <si>
    <t>FMC_DP7_A18_C2M_P</t>
  </si>
  <si>
    <t>FMC_DP7_A18_C2M_N</t>
  </si>
  <si>
    <t>FMC_GCLK0_M2C_P</t>
  </si>
  <si>
    <t>FMC_GCLK0_M2C_N</t>
  </si>
  <si>
    <t>FMC_GCLK1_M2C_P</t>
  </si>
  <si>
    <t>FMC_GCLK1_M2C_N</t>
  </si>
  <si>
    <t>FMC_DP4_B21_M2C_P</t>
  </si>
  <si>
    <t>FMC_DP4_B21_M2C_N</t>
  </si>
  <si>
    <t>FMC_DP5_B20_M2C_P</t>
  </si>
  <si>
    <t>FMC_DP5_B20_M2C_N</t>
  </si>
  <si>
    <t>FMC_DP6_B19_M2C_P</t>
  </si>
  <si>
    <t>FMC_DP6_B19_M2C_N</t>
  </si>
  <si>
    <t>FMC_DP7_B18_M2C_P</t>
  </si>
  <si>
    <t>FMC_DP7_B18_M2C_N</t>
  </si>
  <si>
    <t>VCC_IO_C</t>
  </si>
  <si>
    <t xml:space="preserve">Mercury+ PE1 </t>
  </si>
  <si>
    <t>200/300/400</t>
  </si>
  <si>
    <t>IO_B2A_L22_AB13_CVP_N</t>
  </si>
  <si>
    <t>IO_BN_L1_AD15_AE15_P</t>
  </si>
  <si>
    <t>IO_BN_L1_AD15_AE14_N</t>
  </si>
  <si>
    <t>IO_BN_L2_AD14_AG14_P</t>
  </si>
  <si>
    <t>IO_BN_L2_AD14_AH14_N</t>
  </si>
  <si>
    <t>IO_BN_L3_AD13_AG13_P</t>
  </si>
  <si>
    <t>IO_BN_L3_AD13_AH13_N</t>
  </si>
  <si>
    <t>IO_BN_L4_AD12_AE13_P</t>
  </si>
  <si>
    <t>IO_BN_L4_AD12_AF13_N</t>
  </si>
  <si>
    <t>IO_BN_L5_HDGC_AD15_P</t>
  </si>
  <si>
    <t>IO_BN_L5_HDGC_AD14_N</t>
  </si>
  <si>
    <t>IO_BN_L6_HDGC_AC14_P</t>
  </si>
  <si>
    <t>IO_BN_L6_HDGC_AC13_N</t>
  </si>
  <si>
    <t>IO_BN_L7_HDGC_AA13_P</t>
  </si>
  <si>
    <t>IO_BN_L7_HDGC_AB13_N</t>
  </si>
  <si>
    <t>IO_BN_L8_HDGC_AB15_P</t>
  </si>
  <si>
    <t>IO_BN_L8_HDGC_AB14_N</t>
  </si>
  <si>
    <t>IO_BN_L9_AD11_W14_P</t>
  </si>
  <si>
    <t>IO_BN_L9_AD11_W13_N</t>
  </si>
  <si>
    <t>IO_BN_L10_AD10_Y14_P</t>
  </si>
  <si>
    <t>IO_BN_L10_AD10_Y13_N</t>
  </si>
  <si>
    <t>IO_BN_L11_AD9_W12_P</t>
  </si>
  <si>
    <t>IO_BN_L11_AD9_W11_N</t>
  </si>
  <si>
    <t>IO_BN_L12_AD8_Y12_P</t>
  </si>
  <si>
    <t>IO_BN_L12_AD8_AA12_N</t>
  </si>
  <si>
    <t>IO_BO_L1_AD11_AG10_P</t>
  </si>
  <si>
    <t>IO_BO_L1_AD11_AH10_N</t>
  </si>
  <si>
    <t>IO_BO_L2_AD10_AF11_P</t>
  </si>
  <si>
    <t>IO_BO_L2_AD10_AG11_N</t>
  </si>
  <si>
    <t>IO_BO_L3_AD9_AH12_P</t>
  </si>
  <si>
    <t>IO_BO_L3_AD9_AH11_N</t>
  </si>
  <si>
    <t>IO_BO_L4_AD8_AE10_P</t>
  </si>
  <si>
    <t>IO_BO_L4_AD8_AF10_N</t>
  </si>
  <si>
    <t>IO_BO_L5_HDGC_AD7_AE12_P</t>
  </si>
  <si>
    <t>IO_BO_L5_HDGC_AD7_AF12_N</t>
  </si>
  <si>
    <t>IO_BO_L6_HDGC_AD6_AC12_P</t>
  </si>
  <si>
    <t>IO_BO_L6_HDGC_AD6_AD12_N</t>
  </si>
  <si>
    <t>IO_BO_L7_HDGC_AD5_AD11_P</t>
  </si>
  <si>
    <t>IO_BO_L7_HDGC_AD5_AD10_N</t>
  </si>
  <si>
    <t>IO_BO_L8_HDGC_AD4_AB11_P</t>
  </si>
  <si>
    <t>IO_BO_L8_HDGC_AD4_AC11_N</t>
  </si>
  <si>
    <t>IO_BO_L9_AD3_AA11_P</t>
  </si>
  <si>
    <t>IO_BO_L9_AD3_AA10_N</t>
  </si>
  <si>
    <t>IO_BO_L10_AD2_W10_P</t>
  </si>
  <si>
    <t>IO_BO_L10_AD2_Y10_N</t>
  </si>
  <si>
    <t>IO_BO_L11_AD1_Y9_P</t>
  </si>
  <si>
    <t>IO_BO_L11_AD1_AA8_N</t>
  </si>
  <si>
    <t>IO_BO_L12_AD0_AB10_P</t>
  </si>
  <si>
    <t>IO_BO_L12_AD0_AB9_N</t>
  </si>
  <si>
    <t>IO_B65_L6_AD6_R6_P</t>
  </si>
  <si>
    <t>IO_B65_L7_AD13_L1_P</t>
  </si>
  <si>
    <t>IO_B65_L7_AD13_K1_N</t>
  </si>
  <si>
    <t>IO_B65_L8_AD5_J1_P</t>
  </si>
  <si>
    <t>IO_B65_L8_AD5_H1_N</t>
  </si>
  <si>
    <t>IO_B65_L9_AD12_K2_P</t>
  </si>
  <si>
    <t>IO_B65_L9_AD12_J2_N</t>
  </si>
  <si>
    <t>IO_B65_L10_AD4_H4_P</t>
  </si>
  <si>
    <t>IO_B65_L10_AD4_H3_N</t>
  </si>
  <si>
    <t>IO_B65_L12_GC_L3_P</t>
  </si>
  <si>
    <t>IO_B65_L12_GC_L2_N</t>
  </si>
  <si>
    <t>IO_B65_L13_GC_L7_P</t>
  </si>
  <si>
    <t>IO_B65_L13_GC_L6_N</t>
  </si>
  <si>
    <t>IO_B65_L14_GC_M6_P</t>
  </si>
  <si>
    <t>IO_B65_L14_GC_L5_N</t>
  </si>
  <si>
    <t>IO_B65_L15_AD11_N7_P</t>
  </si>
  <si>
    <t>IO_B65_L15_AD11_N6_N</t>
  </si>
  <si>
    <t>IO_B65_L16_AD3_P7_P</t>
  </si>
  <si>
    <t>IO_B65_L16_AD3_P6_N</t>
  </si>
  <si>
    <t>IO_B65_L17_AD10_N9_P</t>
  </si>
  <si>
    <t>IO_B65_L17_AD10_N8_N</t>
  </si>
  <si>
    <t>IO_B65_L18_AD2_M8_P</t>
  </si>
  <si>
    <t>IO_B65_L18_AD2_L8_N</t>
  </si>
  <si>
    <t>IO_B65_L19_AD9_J5_P</t>
  </si>
  <si>
    <t>IO_B65_L19_AD9_J4_N</t>
  </si>
  <si>
    <t>IO_B65_L20_AD1_J6_P</t>
  </si>
  <si>
    <t>IO_B65_L20_AD1_H6_N</t>
  </si>
  <si>
    <t>IO_B65_L21_AD8_J7_P</t>
  </si>
  <si>
    <t>IO_B65_L21_AD8_H7_N</t>
  </si>
  <si>
    <t>IO_B65_L22_AD0_K8_P</t>
  </si>
  <si>
    <t>IO_B65_L22_AD0_K7_N</t>
  </si>
  <si>
    <t>IO_B65_L23_SCLK_K9_P</t>
  </si>
  <si>
    <t>IO_B65_L23_J9_N</t>
  </si>
  <si>
    <t>IO_B65_L24_SDA_H9_P</t>
  </si>
  <si>
    <t>IO_B66_L6_AD6_G5_P</t>
  </si>
  <si>
    <t>IO_B66_L6_AD6_F5_N</t>
  </si>
  <si>
    <t>IO_B66_L7_AD13_C1_P</t>
  </si>
  <si>
    <t>IO_B66_L7_AD13_B1_N</t>
  </si>
  <si>
    <t>IO_B66_L8_AD5_A2_P</t>
  </si>
  <si>
    <t>IO_B66_L8_AD5_A1_N</t>
  </si>
  <si>
    <t>IO_B66_L9_AD12_B3_P</t>
  </si>
  <si>
    <t>IO_B66_L9_AD12_A3_N</t>
  </si>
  <si>
    <t>IO_B66_L10_AD4_B4_P</t>
  </si>
  <si>
    <t>IO_B66_L10_AD4_A4_N</t>
  </si>
  <si>
    <t>IO_B66_L12_GC_C3_P</t>
  </si>
  <si>
    <t>IO_B66_L12_GC_C2_N</t>
  </si>
  <si>
    <t>IO_B66_L13_GC_D7_P</t>
  </si>
  <si>
    <t>IO_B66_L13_GC_D6_N</t>
  </si>
  <si>
    <t>IO_B66_L14_GC_E5_P</t>
  </si>
  <si>
    <t>IO_B66_L14_GC_D5_N</t>
  </si>
  <si>
    <t>IO_B66_L15_AD11_G6_P</t>
  </si>
  <si>
    <t>IO_B66_L15_AD11_F6_N</t>
  </si>
  <si>
    <t>IO_B66_L16_AD3_G8_P</t>
  </si>
  <si>
    <t>IO_B66_L16_AD3_F7_N</t>
  </si>
  <si>
    <t>IO_B66_L17_AD10_F8_P</t>
  </si>
  <si>
    <t>IO_B66_L17_AD10_E8_N</t>
  </si>
  <si>
    <t>IO_B66_L18_AD2_E9_P</t>
  </si>
  <si>
    <t>IO_B66_L18_AD2_D9_N</t>
  </si>
  <si>
    <t>IO_B66_L19_AD9_B5_P</t>
  </si>
  <si>
    <t>IO_B66_L19_AD9_A5_N</t>
  </si>
  <si>
    <t>IO_B66_L20_AD1_C6_P</t>
  </si>
  <si>
    <t>IO_B66_L20_AD1_B6_N</t>
  </si>
  <si>
    <t>IO_B66_L21_AD8_A7_P</t>
  </si>
  <si>
    <t>IO_B66_L21_AD8_A6_N</t>
  </si>
  <si>
    <t>IO_B66_L22_AD0_C8_P</t>
  </si>
  <si>
    <t>IO_B66_L22_AD0_B8_N</t>
  </si>
  <si>
    <t>IO_B66_L23_A9_P</t>
  </si>
  <si>
    <t>IO_B66_L23_A8_N</t>
  </si>
  <si>
    <t>IO_B66_L24_C9_P</t>
  </si>
  <si>
    <t>IO_B66_L24_B9_N</t>
  </si>
  <si>
    <t>20 July 2017</t>
  </si>
  <si>
    <t>PS_MIO42_PERST#</t>
  </si>
  <si>
    <t>IOHPS_GP2IO13_UARTRX_F13</t>
  </si>
  <si>
    <t>10.</t>
  </si>
  <si>
    <t>IOHPS_GP2IO12_UARTTX_K15</t>
  </si>
  <si>
    <t>HPS_GPIO60_SS0_BS0</t>
  </si>
  <si>
    <t>VCC_IO_BO</t>
  </si>
  <si>
    <t>VCC_IO_BN</t>
  </si>
  <si>
    <t>IO_BE_L7_HDGC_E10_P</t>
  </si>
  <si>
    <t>IO_BE_L7_HDGC_D10_N</t>
  </si>
  <si>
    <t>IO_BE_L8_HDGC_E12_P</t>
  </si>
  <si>
    <t>IO_BE_L8_HDGC_D11_N</t>
  </si>
  <si>
    <t>IO_B65_L6_AD6_T6_N</t>
  </si>
  <si>
    <t>VMON_PSINT</t>
  </si>
  <si>
    <t>MGT_TX4_AF8_L24_K8_P (*8)</t>
  </si>
  <si>
    <t>MGT_TX4_AF7_L24_K7_N (*8)</t>
  </si>
  <si>
    <t>MGT_TX5_AF4_L23_N7_P (*8)</t>
  </si>
  <si>
    <t>MGT_TX5_AF3_L23_N6_N (*8)</t>
  </si>
  <si>
    <t>MGT_TX6_AE2_L21_M8_P (*8)</t>
  </si>
  <si>
    <t>MGT_TX6_AE1_L21_L8_N (*8)</t>
  </si>
  <si>
    <t>MGT_TX7_AC2_L22_K6_P (*8)</t>
  </si>
  <si>
    <t>MGT_TX7_AC1_L22_J6_N (*8)</t>
  </si>
  <si>
    <t>MGT_RX4_AD8_P (*9)</t>
  </si>
  <si>
    <t>MGT_RX4_AD7_N (*9)</t>
  </si>
  <si>
    <t>MGT_RX5_AE6_P (*9)</t>
  </si>
  <si>
    <t>MGT_RX5_AE5_N (*9)</t>
  </si>
  <si>
    <t>MGT_RX6_AC6_P (*9)</t>
  </si>
  <si>
    <t>MGT_RX6_AC5_N (*9)</t>
  </si>
  <si>
    <t>MGT_RX7_AD4_P (*9)</t>
  </si>
  <si>
    <t>MGT_RX7_AD3_N (*9)</t>
  </si>
  <si>
    <t>IO_B34_U2_LS (*6)</t>
  </si>
  <si>
    <t>IO_B34_U1_LS (*6)</t>
  </si>
  <si>
    <t>IO_B35_F2_LS (*6)</t>
  </si>
  <si>
    <t>IO_B35_F1_LS (*6)</t>
  </si>
  <si>
    <t>IO_B34_L3_PUDC#_K7_P</t>
  </si>
  <si>
    <t>VMON_2V9_DV2</t>
  </si>
  <si>
    <t>VCC_IN</t>
  </si>
  <si>
    <t>ZX5-specific: this pin should be left unconnected</t>
  </si>
  <si>
    <t>11.</t>
  </si>
  <si>
    <t xml:space="preserve">Pin Type column describes the default connection type. This information is given as a guideline for base board designs where compatibility between several modules must be preserved. The actual function of the pin depends on the employed module. If the pin type does not match the pin function for the selected product, the product pin desription shall be taken as a reference. </t>
  </si>
  <si>
    <t>Pin Type (*11)</t>
  </si>
  <si>
    <t>R6</t>
  </si>
  <si>
    <t>28 February 2018</t>
  </si>
  <si>
    <t>MGT_TX0_AD2_P</t>
  </si>
  <si>
    <t>MGT_TX0_AD1_N</t>
  </si>
  <si>
    <t>MGT_TX1_Y2_P</t>
  </si>
  <si>
    <t>MGT_TX1_Y1_N</t>
  </si>
  <si>
    <t>MGT_TX2_T2_P</t>
  </si>
  <si>
    <t>MGT_TX2_T1_N</t>
  </si>
  <si>
    <t>MGT_TX3_M2_P</t>
  </si>
  <si>
    <t>MGT_TX3_M1_N</t>
  </si>
  <si>
    <t>MGT_TX4_H2_P</t>
  </si>
  <si>
    <t>MGT_TX4_H1_N</t>
  </si>
  <si>
    <t>IO_B4A_TX_B69_AH23_P</t>
  </si>
  <si>
    <t>IO_B4A_TX_B69_AH22_N</t>
  </si>
  <si>
    <t>IO_B4A_TX_B64_AF20_P</t>
  </si>
  <si>
    <t>IO_B4A_TX_B64_AG20_N</t>
  </si>
  <si>
    <t>IO_B4A_TX_B61_AG19_P</t>
  </si>
  <si>
    <t>IO_B4A_TX_B61_AH19_N</t>
  </si>
  <si>
    <t>IO_B4A_TX_B60_AG18_P</t>
  </si>
  <si>
    <t>IO_B4A_TX_B60_AH18_N</t>
  </si>
  <si>
    <t>IO_B4A_TX_B56_AH17_P</t>
  </si>
  <si>
    <t>IO_B4A_TX_B56_AH16_N</t>
  </si>
  <si>
    <t>IO_B4A_TX_B53_AG15_P</t>
  </si>
  <si>
    <t>IO_B4A_TX_B53_AH14_N</t>
  </si>
  <si>
    <t>IO_B4A_TX_B52_AG14_P</t>
  </si>
  <si>
    <t>IO_B4A_TX_B52_AH13_N</t>
  </si>
  <si>
    <t>MGT_REFCLK0_V5_P</t>
  </si>
  <si>
    <t>MGT_REFCLK0_V4_N</t>
  </si>
  <si>
    <t>MGT_REFCLK1_P8_P</t>
  </si>
  <si>
    <t>MGT_REFCLK1_N8_N</t>
  </si>
  <si>
    <t>MGT_RX0_AF2_P</t>
  </si>
  <si>
    <t>MGT_RX0_AF1_N</t>
  </si>
  <si>
    <t>MGT_RX1_AB2_P</t>
  </si>
  <si>
    <t>MGT_RX1_AB1_N</t>
  </si>
  <si>
    <t>MGT_RX2_V2_P</t>
  </si>
  <si>
    <t>MGT_RX2_V1_N</t>
  </si>
  <si>
    <t>MGT_RX3_P2_P</t>
  </si>
  <si>
    <t>MGT_RX3_P1_N</t>
  </si>
  <si>
    <t>MGT_RX4_K2_P</t>
  </si>
  <si>
    <t>MGT_RX4_K1_N</t>
  </si>
  <si>
    <t>MGT_RX5_F2_P</t>
  </si>
  <si>
    <t>MGT_RX5_F1_N</t>
  </si>
  <si>
    <t>MGT_TX0_F2_P</t>
  </si>
  <si>
    <t>MGT_TX0_F1_N</t>
  </si>
  <si>
    <t>MGT_TX1_D2_P</t>
  </si>
  <si>
    <t>MGT_TX1_D1_N</t>
  </si>
  <si>
    <t>MGT_TX2_B2_P</t>
  </si>
  <si>
    <t>MGT_TX2_B1_N</t>
  </si>
  <si>
    <t>MGT_TX3_A4_P</t>
  </si>
  <si>
    <t>MGT_TX3_A3_N</t>
  </si>
  <si>
    <t>MGT_REFCLK0_D6_P</t>
  </si>
  <si>
    <t>MGT_REFCLK0_D5_N</t>
  </si>
  <si>
    <t>MGT_REFCLK1_F6_P</t>
  </si>
  <si>
    <t>MGT_REFCLK1_F5_N</t>
  </si>
  <si>
    <t>MGT_RX0_G4_P</t>
  </si>
  <si>
    <t>MGT_RX0_G3_N</t>
  </si>
  <si>
    <t>MGT_RX1_E4_P</t>
  </si>
  <si>
    <t>MGT_RX1_E3_N</t>
  </si>
  <si>
    <t>MGT_RX2_C4_P</t>
  </si>
  <si>
    <t>MGT_RX2_C3_N</t>
  </si>
  <si>
    <t>MGT_RX3_B6_P</t>
  </si>
  <si>
    <t>MGT_RX3_B5_N</t>
  </si>
  <si>
    <t>- (VCC_3V3_SR)(*10)</t>
  </si>
  <si>
    <t>IO_B65_L24_PERST#_H8_N</t>
  </si>
  <si>
    <r>
      <t>ZU2EG/ZU3EG/ZU</t>
    </r>
    <r>
      <rPr>
        <sz val="9"/>
        <color theme="0" tint="-0.14999847407452621"/>
        <rFont val="Segoe UI"/>
        <family val="2"/>
      </rPr>
      <t>4</t>
    </r>
    <r>
      <rPr>
        <b/>
        <sz val="9"/>
        <color theme="0" tint="-0.14999847407452621"/>
        <rFont val="Segoe UI"/>
        <family val="2"/>
      </rPr>
      <t>EV/ZU5EV</t>
    </r>
  </si>
  <si>
    <t>25 July 2018</t>
  </si>
  <si>
    <t>Mercury+ XU8</t>
  </si>
  <si>
    <t>B900</t>
  </si>
  <si>
    <t>ZU4CG/ZU5EV/ZU7EV</t>
  </si>
  <si>
    <t>IO_BN_L10_AD2_C14_P</t>
  </si>
  <si>
    <t>IO_BN_L10_AD2_B14_N</t>
  </si>
  <si>
    <t>IO_BN_L2_AD10_K13_P</t>
  </si>
  <si>
    <t>IO_BN_L2_AD10_J12_N</t>
  </si>
  <si>
    <t>IO_BN_L4_AD8_H14_P</t>
  </si>
  <si>
    <t>IO_BN_L4_AD8_G14_N</t>
  </si>
  <si>
    <t>IO_BO_L10_AD10_C17_P</t>
  </si>
  <si>
    <t>IO_BO_L10_AD10_B16_N</t>
  </si>
  <si>
    <t>IO_BN_L6_HDGC_AD6_F12_P</t>
  </si>
  <si>
    <t>IO_BN_L6_HDGC_AD6_E12_N</t>
  </si>
  <si>
    <t>IO_BN_L7_HDGC_AD5_E14_P</t>
  </si>
  <si>
    <t>IO_BN_L7_HDGC_AD5_E13_N</t>
  </si>
  <si>
    <t>IO_BO_L5_HDGC_G16_P</t>
  </si>
  <si>
    <t>IO_BO_L5_HDGC_G15_N</t>
  </si>
  <si>
    <t>IO_BO_L2_AD14_K15_P</t>
  </si>
  <si>
    <t>IO_BO_L2_AD14_K14_N</t>
  </si>
  <si>
    <t>IO_BO_L4_AD12_J16_P</t>
  </si>
  <si>
    <t>IO_BO_L4_AD12_H16_N</t>
  </si>
  <si>
    <t>IO_BO_L9_AD11_D16_P</t>
  </si>
  <si>
    <t>IO_BO_L9_AD11_C16_N</t>
  </si>
  <si>
    <t>IO_BO_L12_AD8_B15_P</t>
  </si>
  <si>
    <t>IO_BO_L12_AD8_A15_N</t>
  </si>
  <si>
    <t>IO_BO_L11_AD9_A17_P</t>
  </si>
  <si>
    <t>IO_BO_L11_AD9_A16_N</t>
  </si>
  <si>
    <t>IO_BO_L7_HDGC_E17_P</t>
  </si>
  <si>
    <t>IO_BO_L7_HDGC_D17_N</t>
  </si>
  <si>
    <t>IO_BN_L5_HDGC_AD7_G13_P</t>
  </si>
  <si>
    <t>IO_BN_L5_HDGC_AD7_F13_N</t>
  </si>
  <si>
    <t>IO_BN_L3_AD9_H13_P</t>
  </si>
  <si>
    <t>IO_BN_L3_AD9_H12_N</t>
  </si>
  <si>
    <t>IO_BN_L9_AD3_D12_P</t>
  </si>
  <si>
    <t>IO_BN_L9_AD3_C12_N</t>
  </si>
  <si>
    <t>IO_BN_L11_AD1_A14_P</t>
  </si>
  <si>
    <t>IO_BN_L11_AD1_A13_N</t>
  </si>
  <si>
    <t>IO_BN_L12_AD0_B12_P</t>
  </si>
  <si>
    <t>IO_BN_L12_AD0_A12_N</t>
  </si>
  <si>
    <t>IO_BN_L8_HDGC_AD4_D14_P</t>
  </si>
  <si>
    <t>IO_BN_L8_HDGC_AD4_C13_N</t>
  </si>
  <si>
    <t>IO_BO_L6_HDGC_F16_P</t>
  </si>
  <si>
    <t>IO_BO_L6_HDGC_F15_N</t>
  </si>
  <si>
    <t>IO_BN_L1_AD11_K12_P</t>
  </si>
  <si>
    <t>IO_BN_L1_AD11_K11_N</t>
  </si>
  <si>
    <t>IO_BO_L3_AD13_J15_P</t>
  </si>
  <si>
    <t>IO_BO_L3_AD13_J14_N</t>
  </si>
  <si>
    <t>IO_BO_L1_AD15_L15_P</t>
  </si>
  <si>
    <t>IO_BO_L1_AD15_L14_N</t>
  </si>
  <si>
    <t>IO_BO_L8_HDGC_E15_P</t>
  </si>
  <si>
    <t>IO_BO_L8_HDGC_D15_N</t>
  </si>
  <si>
    <t>IO_B64_AF17_LS</t>
  </si>
  <si>
    <t>IO_B64_AC19_LS</t>
  </si>
  <si>
    <t>IO_B64_AH16_LS</t>
  </si>
  <si>
    <t>IO_B64_AG19_LS</t>
  </si>
  <si>
    <t>MGT_BD_REFCLK1_B10_P</t>
  </si>
  <si>
    <t>MGT_BD_REFCLK1_B9_N</t>
  </si>
  <si>
    <t>MGTPS_REFCLK1_L25_P</t>
  </si>
  <si>
    <t>MGTPS_REFCLK1_L26_N</t>
  </si>
  <si>
    <t>MGTPS_TX0_M27_P</t>
  </si>
  <si>
    <t>MGTPS_TX0_M28_N</t>
  </si>
  <si>
    <t>MGTPS_TX1_K27_P</t>
  </si>
  <si>
    <t>MGTPS_TX1_K28_N</t>
  </si>
  <si>
    <t>MGTPS_TX2_J25_P</t>
  </si>
  <si>
    <t>MGTPS_TX2_J26_N</t>
  </si>
  <si>
    <t>MGTPS_TX3_G25_P</t>
  </si>
  <si>
    <t>MGTPS_TX3_G26_N</t>
  </si>
  <si>
    <t>MGT_BD_TX0_D6_P</t>
  </si>
  <si>
    <t>MGT_BD_TX0_D5_N</t>
  </si>
  <si>
    <t>MGT_BD_TX1_C8_P</t>
  </si>
  <si>
    <t>MGT_BD_TX1_C7_N</t>
  </si>
  <si>
    <t>MGT_BD_TX2_B6_P</t>
  </si>
  <si>
    <t>MGT_BD_TX2_B5_N</t>
  </si>
  <si>
    <t>MGT_BD_TX3_A8_P</t>
  </si>
  <si>
    <t>MGT_BD_TX3_A7_N</t>
  </si>
  <si>
    <t>IO_B66_AE3</t>
  </si>
  <si>
    <t>IO_B66_Y1</t>
  </si>
  <si>
    <t>IO_B66_L4_AD7_AD11_P</t>
  </si>
  <si>
    <t>IO_B66_L4_AD7_AD10_N</t>
  </si>
  <si>
    <t>IO_B66_L6_AD6_Y10_P</t>
  </si>
  <si>
    <t>IO_B66_L6_AD6_AA10_N</t>
  </si>
  <si>
    <t>IO_B66_L2_AA12_P</t>
  </si>
  <si>
    <t>IO_B66_L2_AA11_N</t>
  </si>
  <si>
    <t>IO_B66_L13_GC_AD7_P</t>
  </si>
  <si>
    <t>IO_B66_L13_GC_AE7_N</t>
  </si>
  <si>
    <t>IO_B66_L3_AD15_AB11_P</t>
  </si>
  <si>
    <t>IO_B66_L3_AD15_AC11_N</t>
  </si>
  <si>
    <t>IO_B66_L1_AC12_P</t>
  </si>
  <si>
    <t>IO_B66_L1_AD12_N</t>
  </si>
  <si>
    <t>MGTPS_REFCLK0_M23_P</t>
  </si>
  <si>
    <t>MGTPS_REFCLK0_M24_N</t>
  </si>
  <si>
    <t>VMON_1V2_VTT</t>
  </si>
  <si>
    <t>MGT_BD_REFCLK0_D10_P</t>
  </si>
  <si>
    <t>MGT_BD_REFCLK0_D9_N</t>
  </si>
  <si>
    <t>MGTPS_RX0_L29_P</t>
  </si>
  <si>
    <t>MGTPS_RX0_L30_N</t>
  </si>
  <si>
    <t>MGTPS_RX1_J29_P</t>
  </si>
  <si>
    <t>MGTPS_RX1_J30_N</t>
  </si>
  <si>
    <t>MGTPS_RX2_H27_P</t>
  </si>
  <si>
    <t>MGTPS_RX2_H28_N</t>
  </si>
  <si>
    <t>MGTPS_RX3_G29_P</t>
  </si>
  <si>
    <t>MGTPS_RX3_G30_N</t>
  </si>
  <si>
    <t>MGT_BD_RX0_D2_P</t>
  </si>
  <si>
    <t>MGT_BD_RX0_D1_N</t>
  </si>
  <si>
    <t>MGT_BD_RX1_C4_P</t>
  </si>
  <si>
    <t>MGT_BD_RX1_C3_N</t>
  </si>
  <si>
    <t>MGT_BD_RX2_B2_P</t>
  </si>
  <si>
    <t>MGT_BD_RX2_B1_N</t>
  </si>
  <si>
    <t>MGT_BD_RX3_A4_P</t>
  </si>
  <si>
    <t>MGT_BD_RX3_A3_N</t>
  </si>
  <si>
    <t>IO_B66_L23_AB1_P</t>
  </si>
  <si>
    <t>IO_B66_L23_AC1_N</t>
  </si>
  <si>
    <t>IO_B66_L11_GC_AC8_P</t>
  </si>
  <si>
    <t>IO_B66_L11_GC_AC7_N</t>
  </si>
  <si>
    <t>IO_B66_L20_AD1_AD1_P</t>
  </si>
  <si>
    <t>IO_B66_L20_AD1_AE1_N</t>
  </si>
  <si>
    <t>IO_B66_L24_AA2_P</t>
  </si>
  <si>
    <t>IO_B66_L24_AA1_N</t>
  </si>
  <si>
    <t>IO_B66_L19_AD9_AD2_P</t>
  </si>
  <si>
    <t>IO_B66_L19_AD9_AE2_N</t>
  </si>
  <si>
    <t>IO_B66_L22_AD0_AA3_P</t>
  </si>
  <si>
    <t>IO_B66_L22_AD0_AB3_N</t>
  </si>
  <si>
    <t>IO_B66_L21_AD8_AC3_P</t>
  </si>
  <si>
    <t>IO_B66_L21_AD8_AC2_N</t>
  </si>
  <si>
    <t>IO_B66_L16_AD3_AD4_P</t>
  </si>
  <si>
    <t>IO_B66_L16_AD3_AE4_N</t>
  </si>
  <si>
    <t>IO_B66_L17_AD10_AB4_P</t>
  </si>
  <si>
    <t>IO_B66_L17_AD10_AC4_N</t>
  </si>
  <si>
    <t>IO_B66_L15_AD11_AD5_P</t>
  </si>
  <si>
    <t>IO_B66_L15_AD11_AE5_N</t>
  </si>
  <si>
    <t>IO_B66_L18_AD2_AA6_P</t>
  </si>
  <si>
    <t>IO_B66_L18_AD2_AA5_N</t>
  </si>
  <si>
    <t>IO_B66_L14_GC_AB6_P</t>
  </si>
  <si>
    <t>IO_B66_L14_GC_AB5_N</t>
  </si>
  <si>
    <t>IO_B66_L8_AD5_AC6_P</t>
  </si>
  <si>
    <t>IO_B66_L8_AD5_AD6_N</t>
  </si>
  <si>
    <t>IO_B66_L10_AD4_Y7_P</t>
  </si>
  <si>
    <t>IO_B66_L10_AD4_AA7_N</t>
  </si>
  <si>
    <t>IO_B66_L9_AD12_W8_P</t>
  </si>
  <si>
    <t>IO_B66_L9_AD12_Y8_N</t>
  </si>
  <si>
    <t>IO_B66_L12_GC_AA8_P</t>
  </si>
  <si>
    <t>IO_B66_L12_GC_AB8_N</t>
  </si>
  <si>
    <t>IO_B66_L7_AD13_AC9_P</t>
  </si>
  <si>
    <t>IO_B66_L7_AD13_AD9_N</t>
  </si>
  <si>
    <t>IO_B66_L5_AD14_AB10_P</t>
  </si>
  <si>
    <t>IO_B66_L5_AD14_AB9_N</t>
  </si>
  <si>
    <t>MGT_BB_REFCLK0_L8_P</t>
  </si>
  <si>
    <t>MGT_BB_REFCLK0_L7_N</t>
  </si>
  <si>
    <t>MGT_BB_REFCLK1_J8_P</t>
  </si>
  <si>
    <t>MGT_BB_REFCLK1_J7_N</t>
  </si>
  <si>
    <t>MGT_BC_TX0_H6_P</t>
  </si>
  <si>
    <t>MGT_BC_TX0_H5_N</t>
  </si>
  <si>
    <t>MGT_BC_TX1_G8_P</t>
  </si>
  <si>
    <t>MGT_BC_TX1_G7_N</t>
  </si>
  <si>
    <t>MGT_BC_TX2_F6_P</t>
  </si>
  <si>
    <t>MGT_BC_TX2_F5_N</t>
  </si>
  <si>
    <t>MGT_BC_TX3_E8_P</t>
  </si>
  <si>
    <t>MGT_BC_TX3_E7_N</t>
  </si>
  <si>
    <t>MGT_BB_TX0_P6_P</t>
  </si>
  <si>
    <t>MGT_BB_TX0_P5_N</t>
  </si>
  <si>
    <t>MGT_BB_TX1_M6_P</t>
  </si>
  <si>
    <t>MGT_BB_TX1_M5_N</t>
  </si>
  <si>
    <t>MGT_BB_TX2_L4_P</t>
  </si>
  <si>
    <t>MGT_BB_TX2_L3_N</t>
  </si>
  <si>
    <t>MGT_BB_TX3_K6_P</t>
  </si>
  <si>
    <t>MGT_BB_TX3_K5_N</t>
  </si>
  <si>
    <t>MGT_BA_REFCLK1_N8_P</t>
  </si>
  <si>
    <t>MGT_BA_REFCLK1_N7_N</t>
  </si>
  <si>
    <t>MGT_BA_TX0_W4_P</t>
  </si>
  <si>
    <t>MGT_BA_TX0_W3_N</t>
  </si>
  <si>
    <t>MGT_BA_TX1_V6_P</t>
  </si>
  <si>
    <t>MGT_BA_TX1_V5_N</t>
  </si>
  <si>
    <t>MGT_BA_TX2_T6_P</t>
  </si>
  <si>
    <t>MGT_BA_TX2_T5_N</t>
  </si>
  <si>
    <t>MGT_BA_TX3_R4_P</t>
  </si>
  <si>
    <t>MGT_BA_TX3_R3_N</t>
  </si>
  <si>
    <t>IO_B65_L8_AD5_AH9_P</t>
  </si>
  <si>
    <t>IO_B65_L8_AD5_AJ9_N</t>
  </si>
  <si>
    <t>IO_B65_L2_AF12_P</t>
  </si>
  <si>
    <t>IO_B65_L2_AF11_N</t>
  </si>
  <si>
    <t>IO_B65_L11_GC_AG8_P</t>
  </si>
  <si>
    <t>IO_B65_L11_GC_AH8_N</t>
  </si>
  <si>
    <t>IO_B65_L6_AD6_AF10_P</t>
  </si>
  <si>
    <t>IO_B65_L6_AD6_AG10_N</t>
  </si>
  <si>
    <t>IO_B65_L4_AD7_ALERT_AJ11_P</t>
  </si>
  <si>
    <t>IO_B65_L4_AD7_AK11_N</t>
  </si>
  <si>
    <t>MGT_BC_REFCLK0_H10_P</t>
  </si>
  <si>
    <t>MGT_BC_REFCLK0_H9_N</t>
  </si>
  <si>
    <t>MGT_BC_REFCLK1_F10_P</t>
  </si>
  <si>
    <t>MGT_BC_REFCLK1_F9_N</t>
  </si>
  <si>
    <t>MGT_BC_RX0_H2_P</t>
  </si>
  <si>
    <t>MGT_BC_RX0_H1_N</t>
  </si>
  <si>
    <t>MGT_BC_RX1_G4_P</t>
  </si>
  <si>
    <t>MGT_BC_RX1_G3_N</t>
  </si>
  <si>
    <t>MGT_BC_RX2_F2_P</t>
  </si>
  <si>
    <t>MGT_BC_RX2_F1_N</t>
  </si>
  <si>
    <t>MGT_BC_RX3_E4_P</t>
  </si>
  <si>
    <t>MGT_BC_RX3_E3_N</t>
  </si>
  <si>
    <t>MGT_BB_RX0_N4_P</t>
  </si>
  <si>
    <t>MGT_BB_RX0_N3_N</t>
  </si>
  <si>
    <t>MGT_BB_RX1_M2_P</t>
  </si>
  <si>
    <t>MGT_BB_RX1_M1_N</t>
  </si>
  <si>
    <t>MGT_BB_RX2_K2_P</t>
  </si>
  <si>
    <t>MGT_BB_RX2_K1_N</t>
  </si>
  <si>
    <t>MGT_BB_RX3_J4_P</t>
  </si>
  <si>
    <t>MGT_BB_RX3_J3_N</t>
  </si>
  <si>
    <t>MGT_BA_REFCLK0_R8_P</t>
  </si>
  <si>
    <t>MGT_BA_REFCLK0_R7_N</t>
  </si>
  <si>
    <t>MGT_BA_RX0_V2_P</t>
  </si>
  <si>
    <t>MGT_BA_RX0_V1_N</t>
  </si>
  <si>
    <t>MGT_BA_RX1_U4_P</t>
  </si>
  <si>
    <t>MGT_BA_RX1_U3_N</t>
  </si>
  <si>
    <t>MGT_BA_RX2_T2_P</t>
  </si>
  <si>
    <t>MGT_BA_RX2_T1_N</t>
  </si>
  <si>
    <t>MGT_BA_RX3_P2_P</t>
  </si>
  <si>
    <t>MGT_BA_RX3_P1_N</t>
  </si>
  <si>
    <t>IO_B65_L7_AD13_AK9_P</t>
  </si>
  <si>
    <t>IO_B65_L7_AD13_AK8_N</t>
  </si>
  <si>
    <t>IO_B65_L12_GC_AH7_P</t>
  </si>
  <si>
    <t>IO_B65_L12_GC_AJ7_N</t>
  </si>
  <si>
    <t>IO_B65_L3_AD15_AG11_P</t>
  </si>
  <si>
    <t>IO_B65_L3_AD15_AH11_N</t>
  </si>
  <si>
    <t>IO_B65_L1_AH12_P</t>
  </si>
  <si>
    <t>IO_B65_L1_AJ12_N</t>
  </si>
  <si>
    <t>IO_B65_L5_AD14_AJ10_P</t>
  </si>
  <si>
    <t>IO_B65_L5_AD14_AK10_N</t>
  </si>
  <si>
    <t>MGT_B128_REFCLK1_D25_P</t>
  </si>
  <si>
    <t>MGT_B128_REFCLK1_D26_N</t>
  </si>
  <si>
    <t>MGT_B128_TX0_G27_P</t>
  </si>
  <si>
    <t>MGT_B128_TX0_G28_N</t>
  </si>
  <si>
    <t>MGT_B128_TX1_E27_P</t>
  </si>
  <si>
    <t>MGT_B128_TX1_E28_N</t>
  </si>
  <si>
    <t>MGT_B128_TX2_C27_P</t>
  </si>
  <si>
    <t>MGT_B128_TX2_C28_N</t>
  </si>
  <si>
    <t>MGT_B128_TX3_A27_P</t>
  </si>
  <si>
    <t>MGT_B128_TX3_A28_N</t>
  </si>
  <si>
    <t>MGT_B128_REFCLK0_F25_P</t>
  </si>
  <si>
    <t>MGT_B128_REFCLK0_F26_N</t>
  </si>
  <si>
    <t>MGT_B128_RX0_H29_P</t>
  </si>
  <si>
    <t>MGT_B128_RX0_H30_N</t>
  </si>
  <si>
    <t>MGT_B128_RX1_F29_P</t>
  </si>
  <si>
    <t>MGT_B128_RX1_F30_N</t>
  </si>
  <si>
    <t>MGT_B128_RX2_D29_P</t>
  </si>
  <si>
    <t>MGT_B128_RX2_D30_N</t>
  </si>
  <si>
    <t>MGT_B128_RX3_B29_P</t>
  </si>
  <si>
    <t>MGT_B128_RX3_B30_N</t>
  </si>
  <si>
    <t>IO_B65_L4_AD7_ALERT_AC11_P</t>
  </si>
  <si>
    <t>IO_B65_L12_GC_AD8_P</t>
  </si>
  <si>
    <t>12.</t>
  </si>
  <si>
    <t>Signal Name (*12)</t>
  </si>
  <si>
    <t>XU5-specific: The I/Os in HD banks (IO_B&lt;BANK_LETTER&gt;_L&lt;...&gt;) are numbered differently depending on the MPSoC device equipped on the module: bank E is 25 (ZU2/ZU3) or 45 (ZU4/ZU5), bank F is 26 (ZU2/ZU3) or 46 (ZU4/ZU5), bank N is 24 (ZU2/ZU3) or 44 (ZU4/ZU5), bank O is 44 (ZU2/ZU3) or 43 (ZU4/ZU5).</t>
  </si>
  <si>
    <t>IO_BF_L8_HDGC_AD4_F15_MIO40_P (*13)</t>
  </si>
  <si>
    <t>IO_BF_L8_HDGC_AD4_E15_MIO41_N (*13)</t>
  </si>
  <si>
    <t>MGT_B224_REFCLK0_Y6_B66_L11_D4_P (*13)</t>
  </si>
  <si>
    <t>MGT_B224_REFCLK0_Y5_B66_L11_C4_N (*13)</t>
  </si>
  <si>
    <t>MGTPS_REFCLK1_E21_B66_L1_G1_P (*13)</t>
  </si>
  <si>
    <t>MGTPS_REFCLK1_E22_B66_L1_F1_N (*13)</t>
  </si>
  <si>
    <t>MGTPS_TX0_E25_MGT_B224_TX0_W4_P (*13)</t>
  </si>
  <si>
    <t>MGTPS_TX0_E26_MGT_B224_TX0_W3_N (*13)</t>
  </si>
  <si>
    <t>MGTPS_TX1_D23_MGT_B224_TX1_U4_P (*13)</t>
  </si>
  <si>
    <t>MGTPS_TX1_D24_MGT_B224_TX1_U3_N (*13)</t>
  </si>
  <si>
    <t>MGTPS_TX2_C25_MGT_B224_TX2_R4_P (*13)</t>
  </si>
  <si>
    <t>MGTPS_TX2_C26_MGT_B224_TX2_R3_N (*13)</t>
  </si>
  <si>
    <t>MGTPS_TX3_B23_MGT_B224_TX3_N4_P (*13)</t>
  </si>
  <si>
    <t>MGTPS_TX3_B24_MGT_B224_TX3_N3_N (*13)</t>
  </si>
  <si>
    <t>MGT_B224_TX0_W4_B66_L2_E1_P (*13)</t>
  </si>
  <si>
    <t>MGT_B224_TX0_W3_B66_L2_D1_N (*13)</t>
  </si>
  <si>
    <t>MGT_B224_TX1_U4_B66_L3_F2_P (*13)</t>
  </si>
  <si>
    <t>MGT_B224_TX1_U3_B66_L3_E2_N (*13)</t>
  </si>
  <si>
    <t>MGT_B224_TX2_R4_B66_L4_G3_P (*13)</t>
  </si>
  <si>
    <t>MGT_B224_TX2_R3_B66_L4_F3_N (*13)</t>
  </si>
  <si>
    <t>MGT_B224_TX3_N4_B66_L5_E4_P (*13)</t>
  </si>
  <si>
    <t>MGT_B224_TX3_N3_B66_L5_E3_N (*13)</t>
  </si>
  <si>
    <t>MGTPS_REFCLK0_F23_MGT_B224_REFCLK0_Y6_P (*13)</t>
  </si>
  <si>
    <t>MGTPS_REFCLK0_F24_MGT_B224_REFCLK0_Y5_N (*13)</t>
  </si>
  <si>
    <t>MGTPS_REFCLK1_E21_MGT_B224_REFCLK1_V6_P (*13)</t>
  </si>
  <si>
    <t>MGTPS_REFCLK1_E22_MGT_B224_REFCLK1_V5_N (*13)</t>
  </si>
  <si>
    <t>MGTPS_RX0_F27_MGT_B224_RX0_Y2_P (*13)</t>
  </si>
  <si>
    <t>MGTPS_RX0_F28_MGT_B224_RX0_Y1_N (*13)</t>
  </si>
  <si>
    <t>MGTPS_RX1_D27_MGT_B224_RX1_V2_P (*13)</t>
  </si>
  <si>
    <t>MGTPS_RX1_D28_MGT_B224_RX1_V1_N (*13)</t>
  </si>
  <si>
    <t>MGTPS_RX2_B27_MGT_B224_RX2_T2_P (*13)</t>
  </si>
  <si>
    <t>MGTPS_RX2_B28_MGT_B224_RX2_T1_N (*13)</t>
  </si>
  <si>
    <t>MGTPS_RX3_A25_MGT_B224_RX3_P2_P (*13)</t>
  </si>
  <si>
    <t>MGTPS_RX3_A26_MGT_B224_RX3_P1_N (*13)</t>
  </si>
  <si>
    <t>MGT_B224_RX0_Y2_B65_L11_K4_P (*13)</t>
  </si>
  <si>
    <t>MGT_B224_RX0_Y1_B65_L11_K3_N (*13)</t>
  </si>
  <si>
    <t>MGT_B224_RX1_V2_B65_L3_U8_P (*13)</t>
  </si>
  <si>
    <t>MGT_B224_RX1_V1_B65_L3_V8_N (*13)</t>
  </si>
  <si>
    <t>MGT_B224_RX2_T2_B65_L4_R8_P (*13)</t>
  </si>
  <si>
    <t>MGT_B224_RX2_T1_B65_L4_T8_N (*13)</t>
  </si>
  <si>
    <t>MGT_B224_RX3_P2_B65_L5_R7_P (*13)</t>
  </si>
  <si>
    <t>MGT_B224_RX3_P1_B65_L5_T7_N (*13)</t>
  </si>
  <si>
    <t>XU5-specific: These I/Os are connected to different FPGA pins, depending on the product variant. Please refer to Mercury XU5 SoC Module FPGA Pinout Assembly Variants Excel Sheet for details.</t>
  </si>
  <si>
    <t>XU8-specific: The I/Os in HD banks (IO_B&lt;BANK_LETTER&gt;_L&lt;...&gt;) and in the MGT banks (MGT_B&lt;BANK_LETTER&gt;_&lt;...&gt;) are numbered differently depending on the MPSoC device equipped on the module: bank N is 46 (ZU4/ZU5) or 47 (ZU7), bank O is 45 (ZU4/ZU5) or 48 (ZU7), MGT bank A is 223 (ZU4/ZU5) or 224 (ZU7), MGT bank B is 224 (ZU4/ZU5) or 225 (ZU7), MGT bank C is 225 (ZU4/ZU5) or 226 (ZU7),  MGT bank A is 226 (ZU4/ZU5) or 227 (ZU7).</t>
  </si>
  <si>
    <t>Signal Name (*14)</t>
  </si>
  <si>
    <t>26 September 2018</t>
  </si>
  <si>
    <t>IO_B64_AG5_LS</t>
  </si>
  <si>
    <t>IO_B64_AK3_LS</t>
  </si>
  <si>
    <t>IO_B65_L24_AB1_N</t>
  </si>
  <si>
    <t>15.</t>
  </si>
  <si>
    <t>XU1-specific: These I/Os are connected to different FPGA pins, depending on the product variant. Please refer to Mercury XU1 SoC Module FPGA Pinout Assembly Variants Excel Sheet for details.</t>
  </si>
  <si>
    <t>IO_B66_Y10_B128_REFCLK0_F25_P (*15)</t>
  </si>
  <si>
    <t>IO_B66_N11_B128_REFCLK0_F26_N (*15)</t>
  </si>
  <si>
    <t>IO_B66_L5_AD14_U2_B128_TX0_G27_P (*15)</t>
  </si>
  <si>
    <t>IO_B66_L5_AD14_U3_B128_TX0_G28_N (*15)</t>
  </si>
  <si>
    <t>IO_B66_L4_AD7_V2_B128_TX1_E27_P (*15)</t>
  </si>
  <si>
    <t>IO_B66_L4_AD7_V1_B128_TX1_E28_N (*15)</t>
  </si>
  <si>
    <t>IO_B66_L3_AD15_W2_B128_TX2_C27_P (*15)</t>
  </si>
  <si>
    <t>IO_B66_L3_AD15_W1_B128_TX2_C28_N (*15)</t>
  </si>
  <si>
    <t>IO_B66_L11_GC_V7_B128_TX3_A27_P (*15)</t>
  </si>
  <si>
    <t>IO_B66_L11_GC_V6_B128_TX3_A28_N (*15)</t>
  </si>
  <si>
    <t>IO_B65_AE7_B128_REFCLK1_D25_P (*15)</t>
  </si>
  <si>
    <t>IO_B65_AE1_B128_REFCLK1_D26_N (*15)</t>
  </si>
  <si>
    <t>IO_B65_L5_AD14_AA12_B128_RX0_H29_P (*15)</t>
  </si>
  <si>
    <t>IO_B65_L5_AD14_AA11_B128_RX0_H30_N (*15)</t>
  </si>
  <si>
    <t>IO_B65_L4_AD7_AC11_B128_RX1_F29_P (*15)</t>
  </si>
  <si>
    <t>IO_B65_L4_AD7_AD11_B128_RX1_F30_N (*15)</t>
  </si>
  <si>
    <t>IO_B65_L11_GC_AC7_B128_RX2_D29_P (*15)</t>
  </si>
  <si>
    <t>IO_B65_L11_GC_AD7_B128_RX2_D30_N (*15)</t>
  </si>
  <si>
    <t>IO_B65_L3_AD15_AE12_B128_RX3_B30_N (*15)</t>
  </si>
  <si>
    <t>IO_B65_L3_AD15_AD12_B128_RX3_B29_P (*15)</t>
  </si>
  <si>
    <t>13.</t>
  </si>
  <si>
    <t>14.</t>
  </si>
  <si>
    <t>Date: 26 September 2018</t>
  </si>
  <si>
    <t>IO_B13_L3_AE25_P</t>
  </si>
  <si>
    <t>IO_B13_L3_AE26_N</t>
  </si>
  <si>
    <t>IO_B13_L5_AF24_P</t>
  </si>
  <si>
    <t>IO_B13_L5_AF25_N</t>
  </si>
  <si>
    <t>IO_B13_L4_AD25_P</t>
  </si>
  <si>
    <t>IO_B13_L4_AD26_N</t>
  </si>
  <si>
    <t>IO_B13_L6_AA24_P</t>
  </si>
  <si>
    <t>IO_B13_L6_VREF_AB24_N</t>
  </si>
  <si>
    <t>IO_B13_L2_AB26_P</t>
  </si>
  <si>
    <t>IO_B13_L2_AC26_N</t>
  </si>
  <si>
    <t>IO_B13_L1_AA25_P</t>
  </si>
  <si>
    <t>IO_B13_L1_AB25_N</t>
  </si>
  <si>
    <t>IO_B13_L11_SRCC_AD23_P</t>
  </si>
  <si>
    <t>IO_B13_L11_SRCC_AD24_N</t>
  </si>
  <si>
    <t>IO_B13_L9_AB21_P</t>
  </si>
  <si>
    <t>IO_B13_L9_AB22_N</t>
  </si>
  <si>
    <t>IO_B13_L7_AE22_P</t>
  </si>
  <si>
    <t>IO_B13_L7_AF22_N</t>
  </si>
  <si>
    <t>IO_B13_L8_AE23_P</t>
  </si>
  <si>
    <t>IO_B13_L8_AF23_N</t>
  </si>
  <si>
    <t>IO_B13_L10_AA22_P</t>
  </si>
  <si>
    <t>IO_B13_L10_AA23_N</t>
  </si>
  <si>
    <t>IO_B13_0_V19</t>
  </si>
  <si>
    <t>IO_B13_25_V18</t>
  </si>
  <si>
    <t>IO_B13_L12_MRCC_AC23_P</t>
  </si>
  <si>
    <t>IO_B13_L12_MRCC_AC24_N</t>
  </si>
  <si>
    <t>IO_MIO40_SDCLK_B12_AA13</t>
  </si>
  <si>
    <t>IO_MIO41_SDCMD_B12_AA12</t>
  </si>
  <si>
    <t>IO_MIO42_SDD0_B12_AB17</t>
  </si>
  <si>
    <t>IO_MIO43_SDD1_B12_AB16</t>
  </si>
  <si>
    <t>IO_MIO44_SDD2_B12_AC17</t>
  </si>
  <si>
    <t>IO_MIO45_SDD3_B12_AC16</t>
  </si>
  <si>
    <t>IO_MIO46_UARTRX_B12_AA15</t>
  </si>
  <si>
    <t>IO_MIO47_UARTTX_B12_AA14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</si>
</sst>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0"/>
      <name val="Arial"/>
    </font>
    <font>
      <sz val="11"/>
      <color theme="1"/>
      <name val="Calibri"/>
      <family val="2"/>
      <scheme val="minor"/>
    </font>
    <font>
      <sz val="11"/>
      <color theme="1"/>
      <name val="Calibri"/>
      <family val="2"/>
      <scheme val="minor"/>
    </font>
    <font>
      <sz val="8"/>
      <name val="Arial"/>
      <family val="2"/>
    </font>
    <font>
      <sz val="9"/>
      <name val="Arial"/>
      <family val="2"/>
    </font>
    <font>
      <b/>
      <sz val="8"/>
      <color theme="0"/>
      <name val="Arial"/>
      <family val="2"/>
    </font>
    <font>
      <sz val="8"/>
      <color theme="0"/>
      <name val="Arial"/>
      <family val="2"/>
    </font>
    <font>
      <b/>
      <sz val="16"/>
      <color theme="0"/>
      <name val="Segoe UI"/>
      <family val="2"/>
    </font>
    <font>
      <b/>
      <sz val="13"/>
      <color theme="0"/>
      <name val="Segoe UI"/>
      <family val="2"/>
    </font>
    <font>
      <sz val="12"/>
      <color theme="0"/>
      <name val="Segoe UI"/>
      <family val="2"/>
    </font>
    <font>
      <sz val="9"/>
      <color theme="0"/>
      <name val="Segoe UI"/>
      <family val="2"/>
    </font>
    <font>
      <sz val="9"/>
      <name val="Segoe UI"/>
      <family val="2"/>
    </font>
    <font>
      <b/>
      <sz val="10"/>
      <color theme="0"/>
      <name val="Segoe UI"/>
      <family val="2"/>
    </font>
    <font>
      <b/>
      <sz val="11"/>
      <color theme="0"/>
      <name val="Segoe UI"/>
      <family val="2"/>
    </font>
    <font>
      <b/>
      <i/>
      <sz val="9"/>
      <color rgb="FFCFE5FF"/>
      <name val="Segoe UI"/>
      <family val="2"/>
    </font>
    <font>
      <sz val="11"/>
      <color rgb="FFFFFFFF"/>
      <name val="Segoe UI Semibold"/>
      <family val="2"/>
    </font>
    <font>
      <b/>
      <sz val="9"/>
      <color theme="1"/>
      <name val="Segoe UI"/>
      <family val="2"/>
    </font>
    <font>
      <b/>
      <sz val="9"/>
      <name val="Segoe UI"/>
      <family val="2"/>
    </font>
    <font>
      <sz val="9"/>
      <color theme="1"/>
      <name val="Segoe UI"/>
      <family val="2"/>
    </font>
    <font>
      <b/>
      <sz val="9"/>
      <color rgb="FF00B050"/>
      <name val="Segoe UI"/>
      <family val="2"/>
    </font>
    <font>
      <b/>
      <sz val="9"/>
      <color rgb="FFFF0000"/>
      <name val="Segoe UI"/>
      <family val="2"/>
    </font>
    <font>
      <sz val="11"/>
      <color rgb="FFFFFFFF"/>
      <name val="Segoe UI"/>
      <family val="2"/>
    </font>
    <font>
      <b/>
      <sz val="11"/>
      <color rgb="FFFFFFFF"/>
      <name val="Segoe UI"/>
      <family val="2"/>
    </font>
    <font>
      <b/>
      <sz val="11"/>
      <name val="Segoe UI"/>
      <family val="2"/>
    </font>
    <font>
      <b/>
      <sz val="9"/>
      <color theme="0"/>
      <name val="Segoe UI"/>
      <family val="2"/>
    </font>
    <font>
      <b/>
      <sz val="9"/>
      <color theme="0" tint="-0.14999847407452621"/>
      <name val="Segoe UI"/>
      <family val="2"/>
    </font>
    <font>
      <b/>
      <sz val="9"/>
      <name val="Segoe UI "/>
    </font>
    <font>
      <b/>
      <i/>
      <sz val="11"/>
      <color theme="0"/>
      <name val="Segoe UI"/>
      <family val="2"/>
    </font>
    <font>
      <sz val="10"/>
      <name val="Arial"/>
      <family val="2"/>
    </font>
    <font>
      <b/>
      <sz val="11"/>
      <color theme="1" tint="0.499984740745262"/>
      <name val="Segoe UI"/>
      <family val="2"/>
    </font>
    <font>
      <b/>
      <sz val="9"/>
      <color theme="0" tint="-0.499984740745262"/>
      <name val="Segoe UI"/>
      <family val="2"/>
    </font>
    <font>
      <b/>
      <sz val="11"/>
      <color theme="0" tint="-0.499984740745262"/>
      <name val="Segoe UI"/>
      <family val="2"/>
    </font>
    <font>
      <sz val="10"/>
      <color theme="0"/>
      <name val="Segoe UI"/>
      <family val="2"/>
    </font>
    <font>
      <sz val="9"/>
      <color theme="0" tint="-0.14999847407452621"/>
      <name val="Segoe UI"/>
      <family val="2"/>
    </font>
  </fonts>
  <fills count="14">
    <fill>
      <patternFill patternType="none"/>
    </fill>
    <fill>
      <patternFill patternType="gray125"/>
    </fill>
    <fill>
      <patternFill patternType="solid">
        <fgColor theme="0" tint="-4.9989318521683403E-2"/>
        <bgColor indexed="64"/>
      </patternFill>
    </fill>
    <fill>
      <patternFill patternType="solid">
        <fgColor rgb="FF074C97"/>
        <bgColor indexed="64"/>
      </patternFill>
    </fill>
    <fill>
      <patternFill patternType="solid">
        <fgColor rgb="FF053264"/>
        <bgColor indexed="64"/>
      </patternFill>
    </fill>
    <fill>
      <patternFill patternType="solid">
        <fgColor rgb="FF4F96E4"/>
        <bgColor indexed="64"/>
      </patternFill>
    </fill>
    <fill>
      <patternFill patternType="solid">
        <fgColor rgb="FF000000"/>
        <bgColor indexed="64"/>
      </patternFill>
    </fill>
    <fill>
      <patternFill patternType="solid">
        <fgColor rgb="FF0B73E4"/>
        <bgColor indexed="64"/>
      </patternFill>
    </fill>
    <fill>
      <patternFill patternType="solid">
        <fgColor theme="1"/>
        <bgColor indexed="64"/>
      </patternFill>
    </fill>
    <fill>
      <patternFill patternType="solid">
        <fgColor rgb="FF415E7F"/>
        <bgColor indexed="64"/>
      </patternFill>
    </fill>
    <fill>
      <patternFill patternType="solid">
        <fgColor rgb="FF3A6FA8"/>
        <bgColor indexed="64"/>
      </patternFill>
    </fill>
    <fill>
      <patternFill patternType="solid">
        <fgColor rgb="FF969696"/>
        <bgColor indexed="64"/>
      </patternFill>
    </fill>
    <fill>
      <patternFill patternType="solid">
        <fgColor theme="4" tint="-0.499984740745262"/>
        <bgColor indexed="64"/>
      </patternFill>
    </fill>
    <fill>
      <patternFill patternType="solid">
        <fgColor theme="1" tint="0.14999847407452621"/>
        <bgColor indexed="64"/>
      </patternFill>
    </fill>
  </fills>
  <borders count="14">
    <border>
      <left/>
      <right/>
      <top/>
      <bottom/>
      <diagonal/>
    </border>
    <border>
      <left/>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ck">
        <color theme="0"/>
      </right>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right style="thick">
        <color theme="0"/>
      </right>
      <top style="thick">
        <color theme="0"/>
      </top>
      <bottom/>
      <diagonal/>
    </border>
    <border>
      <left style="thick">
        <color theme="0"/>
      </left>
      <right/>
      <top style="thick">
        <color theme="0"/>
      </top>
      <bottom/>
      <diagonal/>
    </border>
    <border>
      <left/>
      <right/>
      <top/>
      <bottom style="thick">
        <color theme="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28" fillId="0" borderId="0"/>
    <xf numFmtId="0" fontId="28" fillId="0" borderId="0"/>
    <xf numFmtId="0" fontId="1" fillId="0" borderId="0"/>
    <xf numFmtId="0" fontId="1" fillId="0" borderId="0"/>
  </cellStyleXfs>
  <cellXfs count="241">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Alignment="1"/>
    <xf numFmtId="0" fontId="0" fillId="3" borderId="0" xfId="0" applyFill="1"/>
    <xf numFmtId="0" fontId="5" fillId="3" borderId="1" xfId="0" applyFont="1" applyFill="1" applyBorder="1" applyAlignment="1">
      <alignment horizontal="right"/>
    </xf>
    <xf numFmtId="0" fontId="6" fillId="3" borderId="0" xfId="0" applyFont="1" applyFill="1" applyAlignment="1">
      <alignment horizontal="right"/>
    </xf>
    <xf numFmtId="0" fontId="7" fillId="3" borderId="0" xfId="0" applyFont="1" applyFill="1"/>
    <xf numFmtId="0" fontId="9" fillId="3" borderId="0" xfId="0" applyFont="1" applyFill="1"/>
    <xf numFmtId="0" fontId="0" fillId="3" borderId="0" xfId="0" applyFill="1" applyBorder="1"/>
    <xf numFmtId="0" fontId="8" fillId="4" borderId="2" xfId="0" applyFont="1" applyFill="1" applyBorder="1" applyAlignment="1">
      <alignment horizontal="center" vertical="center"/>
    </xf>
    <xf numFmtId="0" fontId="0" fillId="5" borderId="3" xfId="0" applyFill="1" applyBorder="1"/>
    <xf numFmtId="0" fontId="0" fillId="5" borderId="4" xfId="0" applyFill="1" applyBorder="1"/>
    <xf numFmtId="0" fontId="4" fillId="6" borderId="0" xfId="0" applyFont="1" applyFill="1"/>
    <xf numFmtId="0" fontId="4" fillId="6" borderId="0" xfId="0" applyFont="1" applyFill="1" applyAlignment="1">
      <alignment horizontal="center"/>
    </xf>
    <xf numFmtId="0" fontId="4" fillId="6" borderId="0" xfId="0" applyFont="1" applyFill="1" applyAlignment="1">
      <alignment horizontal="left"/>
    </xf>
    <xf numFmtId="0" fontId="4" fillId="6" borderId="0" xfId="0" applyFont="1" applyFill="1" applyAlignment="1"/>
    <xf numFmtId="0" fontId="13" fillId="7" borderId="7" xfId="0" applyFont="1" applyFill="1" applyBorder="1" applyAlignment="1">
      <alignment horizontal="center" vertical="center"/>
    </xf>
    <xf numFmtId="0" fontId="11" fillId="3" borderId="6" xfId="0" applyFont="1" applyFill="1" applyBorder="1"/>
    <xf numFmtId="0" fontId="10" fillId="3" borderId="6" xfId="0" applyFont="1" applyFill="1" applyBorder="1" applyAlignment="1">
      <alignment wrapText="1"/>
    </xf>
    <xf numFmtId="0" fontId="10" fillId="3" borderId="6" xfId="0" applyFont="1" applyFill="1" applyBorder="1" applyAlignment="1">
      <alignment horizontal="center" vertical="center"/>
    </xf>
    <xf numFmtId="0" fontId="14" fillId="9" borderId="0" xfId="0" applyFont="1" applyFill="1" applyBorder="1" applyAlignment="1">
      <alignment horizontal="center" vertical="center"/>
    </xf>
    <xf numFmtId="0" fontId="14" fillId="9" borderId="0" xfId="0" applyFont="1" applyFill="1" applyAlignment="1">
      <alignment horizontal="center" vertical="center"/>
    </xf>
    <xf numFmtId="0" fontId="15" fillId="6" borderId="0" xfId="0" applyFont="1" applyFill="1"/>
    <xf numFmtId="0" fontId="4" fillId="6" borderId="6" xfId="0" applyFont="1" applyFill="1" applyBorder="1"/>
    <xf numFmtId="0" fontId="10" fillId="6" borderId="0" xfId="0" applyFont="1" applyFill="1"/>
    <xf numFmtId="0" fontId="10" fillId="6" borderId="0" xfId="0" applyFont="1" applyFill="1" applyAlignment="1">
      <alignment horizontal="center"/>
    </xf>
    <xf numFmtId="0" fontId="10" fillId="6" borderId="0" xfId="0" applyFont="1" applyFill="1" applyAlignment="1">
      <alignment horizontal="left"/>
    </xf>
    <xf numFmtId="0" fontId="10" fillId="6" borderId="0" xfId="0" applyFont="1" applyFill="1" applyBorder="1" applyAlignment="1">
      <alignment vertical="top"/>
    </xf>
    <xf numFmtId="0" fontId="11" fillId="3" borderId="0" xfId="0" applyFont="1" applyFill="1" applyBorder="1"/>
    <xf numFmtId="0" fontId="10" fillId="3" borderId="0" xfId="0" applyFont="1" applyFill="1" applyBorder="1" applyAlignment="1">
      <alignment horizontal="center" vertical="center"/>
    </xf>
    <xf numFmtId="0" fontId="16" fillId="0" borderId="7" xfId="0" applyFont="1" applyBorder="1"/>
    <xf numFmtId="0" fontId="18" fillId="0" borderId="7" xfId="0" applyFont="1" applyBorder="1"/>
    <xf numFmtId="0" fontId="19" fillId="0" borderId="7" xfId="0" applyFont="1" applyBorder="1"/>
    <xf numFmtId="0" fontId="11" fillId="0" borderId="7" xfId="0" applyFont="1" applyBorder="1"/>
    <xf numFmtId="0" fontId="20" fillId="0" borderId="7" xfId="0" applyFont="1" applyBorder="1"/>
    <xf numFmtId="0" fontId="16" fillId="6" borderId="7" xfId="0" applyFont="1" applyFill="1" applyBorder="1"/>
    <xf numFmtId="0" fontId="20" fillId="6" borderId="7" xfId="0" applyFont="1" applyFill="1" applyBorder="1"/>
    <xf numFmtId="0" fontId="11" fillId="6" borderId="6" xfId="0" applyFont="1" applyFill="1" applyBorder="1"/>
    <xf numFmtId="0" fontId="21" fillId="6" borderId="0" xfId="0" applyFont="1" applyFill="1"/>
    <xf numFmtId="0" fontId="11" fillId="6" borderId="0" xfId="0" applyFont="1" applyFill="1"/>
    <xf numFmtId="0" fontId="11" fillId="0" borderId="0" xfId="0" applyFont="1"/>
    <xf numFmtId="0" fontId="11" fillId="6" borderId="0" xfId="0" applyFont="1" applyFill="1" applyAlignment="1"/>
    <xf numFmtId="0" fontId="11" fillId="0" borderId="0" xfId="0" applyFont="1" applyAlignment="1"/>
    <xf numFmtId="0" fontId="20" fillId="0" borderId="7" xfId="0" applyFont="1" applyBorder="1" applyAlignment="1"/>
    <xf numFmtId="0" fontId="18" fillId="0" borderId="7" xfId="0" applyFont="1" applyBorder="1" applyAlignment="1"/>
    <xf numFmtId="0" fontId="16" fillId="0" borderId="7" xfId="0" applyFont="1" applyBorder="1" applyAlignment="1"/>
    <xf numFmtId="0" fontId="19" fillId="0" borderId="7" xfId="0" applyFont="1" applyFill="1" applyBorder="1" applyAlignment="1"/>
    <xf numFmtId="0" fontId="18" fillId="0" borderId="7" xfId="0" applyFont="1" applyFill="1" applyBorder="1" applyAlignment="1"/>
    <xf numFmtId="0" fontId="16" fillId="6" borderId="7" xfId="0" applyFont="1" applyFill="1" applyBorder="1" applyAlignment="1"/>
    <xf numFmtId="0" fontId="20" fillId="6" borderId="7" xfId="0" applyFont="1" applyFill="1" applyBorder="1" applyAlignment="1"/>
    <xf numFmtId="0" fontId="11" fillId="6" borderId="0" xfId="0" applyFont="1" applyFill="1" applyAlignment="1">
      <alignment horizontal="center"/>
    </xf>
    <xf numFmtId="0" fontId="11" fillId="0" borderId="0" xfId="0" applyFont="1" applyAlignment="1">
      <alignment horizontal="center"/>
    </xf>
    <xf numFmtId="0" fontId="10" fillId="2" borderId="5" xfId="0" applyFont="1" applyFill="1" applyBorder="1" applyAlignment="1">
      <alignment horizontal="center"/>
    </xf>
    <xf numFmtId="0" fontId="10" fillId="2" borderId="0" xfId="0" applyFont="1" applyFill="1" applyAlignment="1">
      <alignment horizontal="center"/>
    </xf>
    <xf numFmtId="0" fontId="10" fillId="6" borderId="5" xfId="0" applyFont="1" applyFill="1" applyBorder="1" applyAlignment="1">
      <alignment horizontal="center"/>
    </xf>
    <xf numFmtId="0" fontId="11" fillId="6" borderId="7" xfId="0" applyFont="1" applyFill="1" applyBorder="1"/>
    <xf numFmtId="0" fontId="22" fillId="3" borderId="0" xfId="0" applyFont="1" applyFill="1"/>
    <xf numFmtId="0" fontId="23" fillId="0" borderId="0" xfId="0" applyFont="1"/>
    <xf numFmtId="0" fontId="21" fillId="3" borderId="0" xfId="0" applyFont="1" applyFill="1"/>
    <xf numFmtId="0" fontId="22" fillId="3" borderId="1" xfId="0" applyFont="1" applyFill="1" applyBorder="1"/>
    <xf numFmtId="0" fontId="21" fillId="3" borderId="1" xfId="0" applyFont="1" applyFill="1" applyBorder="1"/>
    <xf numFmtId="0" fontId="21" fillId="3" borderId="0" xfId="0" applyFont="1" applyFill="1" applyBorder="1" applyAlignment="1">
      <alignment horizontal="center" wrapText="1"/>
    </xf>
    <xf numFmtId="49" fontId="21" fillId="3" borderId="0" xfId="0" applyNumberFormat="1" applyFont="1" applyFill="1" applyAlignment="1">
      <alignment horizontal="right" vertical="top"/>
    </xf>
    <xf numFmtId="0" fontId="21" fillId="3" borderId="0" xfId="0" applyFont="1" applyFill="1" applyAlignment="1">
      <alignment wrapText="1"/>
    </xf>
    <xf numFmtId="0" fontId="22" fillId="3" borderId="0" xfId="0" applyFont="1" applyFill="1" applyBorder="1" applyAlignment="1">
      <alignment horizontal="center"/>
    </xf>
    <xf numFmtId="0" fontId="22" fillId="3" borderId="0" xfId="0" applyFont="1" applyFill="1" applyBorder="1" applyAlignment="1">
      <alignment horizontal="center" vertical="center"/>
    </xf>
    <xf numFmtId="0" fontId="21" fillId="3" borderId="0" xfId="0" applyFont="1" applyFill="1" applyBorder="1" applyAlignment="1">
      <alignment horizontal="center"/>
    </xf>
    <xf numFmtId="0" fontId="21" fillId="3" borderId="0" xfId="0" applyFont="1" applyFill="1" applyAlignment="1">
      <alignment horizontal="right"/>
    </xf>
    <xf numFmtId="0" fontId="17" fillId="6" borderId="0" xfId="0" applyFont="1" applyFill="1"/>
    <xf numFmtId="0" fontId="17" fillId="0" borderId="0" xfId="0" applyFont="1"/>
    <xf numFmtId="0" fontId="25" fillId="9" borderId="7" xfId="0" applyFont="1" applyFill="1" applyBorder="1" applyAlignment="1">
      <alignment horizontal="center" vertical="center"/>
    </xf>
    <xf numFmtId="0" fontId="24" fillId="7" borderId="7" xfId="0" applyFont="1" applyFill="1" applyBorder="1" applyAlignment="1">
      <alignment horizontal="center" vertical="center"/>
    </xf>
    <xf numFmtId="0" fontId="24" fillId="11" borderId="0" xfId="0" applyFont="1" applyFill="1" applyAlignment="1">
      <alignment horizontal="center" vertical="center"/>
    </xf>
    <xf numFmtId="0" fontId="24" fillId="8" borderId="9" xfId="0" applyFont="1" applyFill="1" applyBorder="1" applyAlignment="1">
      <alignment horizontal="center" vertical="center"/>
    </xf>
    <xf numFmtId="0" fontId="24" fillId="8" borderId="10" xfId="0" applyFont="1" applyFill="1" applyBorder="1" applyAlignment="1">
      <alignment horizontal="center" vertical="center"/>
    </xf>
    <xf numFmtId="0" fontId="26" fillId="6" borderId="0" xfId="0" applyFont="1" applyFill="1"/>
    <xf numFmtId="0" fontId="26" fillId="0" borderId="0" xfId="0" applyFont="1"/>
    <xf numFmtId="0" fontId="27" fillId="10" borderId="0" xfId="0" applyFont="1" applyFill="1" applyAlignment="1">
      <alignment horizontal="center" vertical="center"/>
    </xf>
    <xf numFmtId="0" fontId="25" fillId="9" borderId="7" xfId="0" quotePrefix="1" applyFont="1" applyFill="1" applyBorder="1" applyAlignment="1">
      <alignment horizontal="center" vertical="center"/>
    </xf>
    <xf numFmtId="0" fontId="18" fillId="6" borderId="7" xfId="0" applyFont="1" applyFill="1" applyBorder="1" applyAlignment="1"/>
    <xf numFmtId="0" fontId="19" fillId="6" borderId="7" xfId="0" applyFont="1" applyFill="1" applyBorder="1"/>
    <xf numFmtId="0" fontId="19" fillId="6" borderId="7" xfId="0" applyFont="1" applyFill="1" applyBorder="1" applyAlignment="1"/>
    <xf numFmtId="0" fontId="18" fillId="6" borderId="7" xfId="0" applyFont="1" applyFill="1" applyBorder="1"/>
    <xf numFmtId="0" fontId="11" fillId="6" borderId="7" xfId="0" applyFont="1" applyFill="1" applyBorder="1" applyAlignment="1"/>
    <xf numFmtId="0" fontId="18" fillId="6" borderId="6" xfId="0" applyFont="1" applyFill="1" applyBorder="1" applyAlignment="1"/>
    <xf numFmtId="0" fontId="16" fillId="6" borderId="6" xfId="0" applyFont="1" applyFill="1" applyBorder="1" applyAlignment="1"/>
    <xf numFmtId="0" fontId="20" fillId="6" borderId="6" xfId="0" applyFont="1" applyFill="1" applyBorder="1" applyAlignment="1"/>
    <xf numFmtId="0" fontId="10" fillId="6" borderId="6" xfId="0" applyFont="1" applyFill="1" applyBorder="1"/>
    <xf numFmtId="0" fontId="10" fillId="6" borderId="7" xfId="0" applyFont="1" applyFill="1" applyBorder="1"/>
    <xf numFmtId="0" fontId="11" fillId="0" borderId="7" xfId="0" applyFont="1" applyFill="1" applyBorder="1"/>
    <xf numFmtId="0" fontId="4" fillId="0" borderId="6" xfId="0" applyFont="1" applyFill="1" applyBorder="1"/>
    <xf numFmtId="0" fontId="19" fillId="0" borderId="7" xfId="0" applyFont="1" applyFill="1" applyBorder="1"/>
    <xf numFmtId="0" fontId="4" fillId="6" borderId="7" xfId="0" applyFont="1" applyFill="1" applyBorder="1"/>
    <xf numFmtId="0" fontId="4" fillId="0" borderId="6" xfId="0" applyFont="1" applyBorder="1"/>
    <xf numFmtId="0" fontId="4" fillId="0" borderId="7" xfId="0" applyFont="1" applyFill="1" applyBorder="1"/>
    <xf numFmtId="0" fontId="4" fillId="0" borderId="8" xfId="0" applyFont="1" applyFill="1" applyBorder="1"/>
    <xf numFmtId="0" fontId="10" fillId="6" borderId="8" xfId="0" applyFont="1" applyFill="1" applyBorder="1"/>
    <xf numFmtId="0" fontId="4" fillId="6" borderId="8" xfId="0" applyFont="1" applyFill="1" applyBorder="1"/>
    <xf numFmtId="0" fontId="27" fillId="10" borderId="6" xfId="0" applyFont="1" applyFill="1" applyBorder="1" applyAlignment="1">
      <alignment horizontal="center" vertical="center"/>
    </xf>
    <xf numFmtId="0" fontId="14" fillId="9" borderId="6" xfId="0" applyFont="1" applyFill="1" applyBorder="1" applyAlignment="1">
      <alignment horizontal="center" vertical="center"/>
    </xf>
    <xf numFmtId="0" fontId="10" fillId="6" borderId="6" xfId="0" applyFont="1" applyFill="1" applyBorder="1" applyAlignment="1">
      <alignment horizontal="left"/>
    </xf>
    <xf numFmtId="0" fontId="11" fillId="6" borderId="6" xfId="0" applyFont="1" applyFill="1" applyBorder="1" applyAlignment="1">
      <alignment horizontal="left"/>
    </xf>
    <xf numFmtId="0" fontId="11" fillId="0" borderId="6" xfId="0" applyFont="1" applyBorder="1" applyAlignment="1">
      <alignment horizontal="left"/>
    </xf>
    <xf numFmtId="0" fontId="29" fillId="12" borderId="7" xfId="0" applyFont="1" applyFill="1" applyBorder="1" applyAlignment="1">
      <alignment horizontal="center" vertical="center"/>
    </xf>
    <xf numFmtId="0" fontId="30" fillId="12" borderId="7" xfId="0" applyFont="1" applyFill="1" applyBorder="1" applyAlignment="1">
      <alignment horizontal="center" vertical="center"/>
    </xf>
    <xf numFmtId="0" fontId="31" fillId="12" borderId="7" xfId="0" applyFont="1" applyFill="1" applyBorder="1" applyAlignment="1">
      <alignment horizontal="center" vertical="center"/>
    </xf>
    <xf numFmtId="0" fontId="16" fillId="13" borderId="7" xfId="0" applyFont="1" applyFill="1" applyBorder="1"/>
    <xf numFmtId="0" fontId="19" fillId="13" borderId="7" xfId="0" applyFont="1" applyFill="1" applyBorder="1"/>
    <xf numFmtId="0" fontId="18" fillId="13" borderId="7" xfId="0" applyFont="1" applyFill="1" applyBorder="1"/>
    <xf numFmtId="0" fontId="20" fillId="13" borderId="7" xfId="0" applyFont="1" applyFill="1" applyBorder="1"/>
    <xf numFmtId="0" fontId="11" fillId="13" borderId="7" xfId="0" applyFont="1" applyFill="1" applyBorder="1"/>
    <xf numFmtId="0" fontId="24" fillId="3" borderId="0" xfId="2" applyFont="1" applyFill="1" applyBorder="1" applyAlignment="1">
      <alignment horizontal="center"/>
    </xf>
    <xf numFmtId="0" fontId="24" fillId="3" borderId="0" xfId="2" applyFont="1" applyFill="1" applyBorder="1" applyAlignment="1">
      <alignment horizontal="center" vertical="center"/>
    </xf>
    <xf numFmtId="0" fontId="10" fillId="6" borderId="6" xfId="0" applyFont="1" applyFill="1" applyBorder="1" applyAlignment="1">
      <alignment vertical="top"/>
    </xf>
    <xf numFmtId="0" fontId="24" fillId="3" borderId="0" xfId="3" applyFont="1" applyFill="1" applyBorder="1" applyAlignment="1">
      <alignment horizontal="center"/>
    </xf>
    <xf numFmtId="0" fontId="24" fillId="3" borderId="0" xfId="3" applyFont="1" applyFill="1" applyBorder="1" applyAlignment="1">
      <alignment horizontal="center" vertical="center"/>
    </xf>
    <xf numFmtId="0" fontId="24" fillId="11" borderId="7" xfId="0" applyFont="1" applyFill="1" applyBorder="1" applyAlignment="1">
      <alignment horizontal="center" vertical="center"/>
    </xf>
    <xf numFmtId="0" fontId="11" fillId="0" borderId="7" xfId="0" quotePrefix="1" applyFont="1" applyFill="1" applyBorder="1"/>
    <xf numFmtId="0" fontId="5" fillId="3" borderId="0" xfId="0" applyFont="1" applyFill="1" applyBorder="1" applyAlignment="1">
      <alignment horizontal="right"/>
    </xf>
    <xf numFmtId="0" fontId="13" fillId="6" borderId="7" xfId="0" applyFont="1" applyFill="1" applyBorder="1" applyAlignment="1">
      <alignment horizontal="center" vertical="center"/>
    </xf>
    <xf numFmtId="0" fontId="25" fillId="6" borderId="7" xfId="0" applyFont="1" applyFill="1" applyBorder="1" applyAlignment="1">
      <alignment horizontal="center" vertical="center"/>
    </xf>
    <xf numFmtId="0" fontId="24" fillId="6" borderId="7" xfId="0" applyFont="1" applyFill="1" applyBorder="1" applyAlignment="1">
      <alignment horizontal="center" vertical="center"/>
    </xf>
    <xf numFmtId="0" fontId="15" fillId="6" borderId="7" xfId="0" applyFont="1" applyFill="1" applyBorder="1" applyAlignment="1">
      <alignment horizontal="center" vertical="center"/>
    </xf>
    <xf numFmtId="0" fontId="30" fillId="6" borderId="7" xfId="0" applyFont="1" applyFill="1" applyBorder="1" applyAlignment="1">
      <alignment horizontal="center" vertical="center"/>
    </xf>
    <xf numFmtId="0" fontId="24" fillId="6" borderId="8" xfId="0" applyFont="1" applyFill="1" applyBorder="1" applyAlignment="1">
      <alignment horizontal="center" vertical="center"/>
    </xf>
    <xf numFmtId="0" fontId="11" fillId="6" borderId="8" xfId="0" applyFont="1" applyFill="1" applyBorder="1"/>
    <xf numFmtId="0" fontId="13" fillId="7" borderId="7" xfId="0" applyFont="1" applyFill="1" applyBorder="1" applyAlignment="1" applyProtection="1">
      <alignment horizontal="center" vertical="center"/>
    </xf>
    <xf numFmtId="0" fontId="27" fillId="10" borderId="0" xfId="0" applyFont="1" applyFill="1" applyAlignment="1" applyProtection="1">
      <alignment horizontal="center" vertical="center"/>
    </xf>
    <xf numFmtId="0" fontId="25" fillId="9" borderId="7" xfId="0" applyFont="1" applyFill="1" applyBorder="1" applyAlignment="1" applyProtection="1">
      <alignment horizontal="center" vertical="center"/>
    </xf>
    <xf numFmtId="0" fontId="14" fillId="9" borderId="0" xfId="0" applyFont="1" applyFill="1" applyBorder="1" applyAlignment="1" applyProtection="1">
      <alignment horizontal="center" vertical="center"/>
    </xf>
    <xf numFmtId="0" fontId="14" fillId="9" borderId="0" xfId="0" applyFont="1" applyFill="1" applyAlignment="1" applyProtection="1">
      <alignment horizontal="center" vertical="center"/>
    </xf>
    <xf numFmtId="0" fontId="10" fillId="3" borderId="6" xfId="0" applyFont="1" applyFill="1" applyBorder="1" applyAlignment="1" applyProtection="1">
      <alignment horizontal="center" vertical="center"/>
    </xf>
    <xf numFmtId="0" fontId="10" fillId="3" borderId="6" xfId="0" applyFont="1" applyFill="1" applyBorder="1" applyAlignment="1" applyProtection="1">
      <alignment wrapText="1"/>
    </xf>
    <xf numFmtId="0" fontId="24" fillId="7" borderId="7" xfId="0" applyFont="1" applyFill="1" applyBorder="1" applyAlignment="1" applyProtection="1">
      <alignment horizontal="center" vertical="center"/>
    </xf>
    <xf numFmtId="0" fontId="24" fillId="11" borderId="0" xfId="0" applyFont="1" applyFill="1" applyAlignment="1" applyProtection="1">
      <alignment horizontal="center" vertical="center"/>
    </xf>
    <xf numFmtId="0" fontId="16" fillId="0" borderId="7" xfId="0" applyFont="1" applyBorder="1" applyProtection="1"/>
    <xf numFmtId="0" fontId="16" fillId="6" borderId="7" xfId="0" applyFont="1" applyFill="1" applyBorder="1" applyProtection="1"/>
    <xf numFmtId="0" fontId="24" fillId="3" borderId="0" xfId="3" applyFont="1" applyFill="1" applyBorder="1" applyAlignment="1" applyProtection="1">
      <alignment horizontal="center"/>
    </xf>
    <xf numFmtId="0" fontId="11" fillId="0" borderId="7" xfId="0" applyFont="1" applyFill="1" applyBorder="1" applyProtection="1"/>
    <xf numFmtId="0" fontId="18" fillId="0" borderId="7" xfId="0" applyFont="1" applyBorder="1" applyProtection="1"/>
    <xf numFmtId="0" fontId="19" fillId="0" borderId="7" xfId="0" applyFont="1" applyBorder="1" applyProtection="1"/>
    <xf numFmtId="0" fontId="11" fillId="0" borderId="7" xfId="0" applyFont="1" applyBorder="1" applyProtection="1"/>
    <xf numFmtId="0" fontId="19" fillId="0" borderId="7" xfId="0" applyFont="1" applyFill="1" applyBorder="1" applyProtection="1"/>
    <xf numFmtId="0" fontId="19" fillId="6" borderId="7" xfId="0" applyFont="1" applyFill="1" applyBorder="1" applyProtection="1"/>
    <xf numFmtId="0" fontId="18" fillId="6" borderId="7" xfId="0" applyFont="1" applyFill="1" applyBorder="1" applyProtection="1"/>
    <xf numFmtId="0" fontId="24" fillId="3" borderId="0" xfId="3" applyFont="1" applyFill="1" applyBorder="1" applyAlignment="1" applyProtection="1">
      <alignment horizontal="center" vertical="center"/>
    </xf>
    <xf numFmtId="0" fontId="11" fillId="3" borderId="6" xfId="0" applyFont="1" applyFill="1" applyBorder="1" applyProtection="1"/>
    <xf numFmtId="0" fontId="20" fillId="0" borderId="7" xfId="0" applyFont="1" applyBorder="1" applyProtection="1"/>
    <xf numFmtId="0" fontId="20" fillId="6" borderId="7" xfId="0" applyFont="1" applyFill="1" applyBorder="1" applyProtection="1"/>
    <xf numFmtId="0" fontId="11" fillId="6" borderId="7" xfId="0" applyFont="1" applyFill="1" applyBorder="1" applyProtection="1"/>
    <xf numFmtId="0" fontId="20" fillId="0" borderId="12" xfId="4" applyFont="1" applyBorder="1"/>
    <xf numFmtId="0" fontId="20" fillId="0" borderId="7" xfId="4" applyFont="1" applyBorder="1"/>
    <xf numFmtId="0" fontId="18" fillId="0" borderId="7" xfId="4" applyFont="1" applyBorder="1"/>
    <xf numFmtId="0" fontId="16" fillId="0" borderId="7" xfId="4" applyFont="1" applyBorder="1"/>
    <xf numFmtId="0" fontId="16" fillId="0" borderId="13" xfId="4" applyFont="1" applyBorder="1"/>
    <xf numFmtId="0" fontId="20" fillId="0" borderId="13" xfId="4" applyFont="1" applyBorder="1"/>
    <xf numFmtId="0" fontId="19" fillId="0" borderId="7" xfId="4" applyFont="1" applyBorder="1"/>
    <xf numFmtId="0" fontId="16" fillId="0" borderId="12" xfId="0" applyFont="1" applyBorder="1" applyProtection="1"/>
    <xf numFmtId="0" fontId="20" fillId="6" borderId="13" xfId="0" applyFont="1" applyFill="1" applyBorder="1" applyProtection="1"/>
    <xf numFmtId="0" fontId="16" fillId="6" borderId="13" xfId="0" applyFont="1" applyFill="1" applyBorder="1" applyProtection="1"/>
    <xf numFmtId="0" fontId="16" fillId="0" borderId="12" xfId="4" applyFont="1" applyBorder="1"/>
    <xf numFmtId="0" fontId="24" fillId="8" borderId="9" xfId="3" applyFont="1" applyFill="1" applyBorder="1" applyAlignment="1" applyProtection="1">
      <alignment horizontal="center" vertical="center"/>
    </xf>
    <xf numFmtId="0" fontId="24" fillId="8" borderId="10" xfId="3" applyFont="1" applyFill="1" applyBorder="1" applyAlignment="1" applyProtection="1">
      <alignment horizontal="center" vertical="center"/>
    </xf>
    <xf numFmtId="0" fontId="32" fillId="2" borderId="5" xfId="3" applyFont="1" applyFill="1" applyBorder="1" applyAlignment="1" applyProtection="1">
      <alignment horizontal="center"/>
    </xf>
    <xf numFmtId="0" fontId="32" fillId="2" borderId="0" xfId="3" applyFont="1" applyFill="1" applyAlignment="1" applyProtection="1">
      <alignment horizontal="center"/>
    </xf>
    <xf numFmtId="0" fontId="32" fillId="6" borderId="5" xfId="3" applyFont="1" applyFill="1" applyBorder="1" applyAlignment="1" applyProtection="1">
      <alignment horizontal="center"/>
    </xf>
    <xf numFmtId="0" fontId="32" fillId="6" borderId="0" xfId="3" applyFont="1" applyFill="1" applyAlignment="1" applyProtection="1">
      <alignment horizontal="center"/>
    </xf>
    <xf numFmtId="14" fontId="25" fillId="9" borderId="7" xfId="0" quotePrefix="1" applyNumberFormat="1" applyFont="1" applyFill="1" applyBorder="1" applyAlignment="1">
      <alignment horizontal="center" vertical="center"/>
    </xf>
    <xf numFmtId="14" fontId="25" fillId="9" borderId="7" xfId="0" applyNumberFormat="1" applyFont="1" applyFill="1" applyBorder="1" applyAlignment="1">
      <alignment horizontal="center" vertical="center"/>
    </xf>
    <xf numFmtId="49" fontId="20" fillId="6" borderId="7" xfId="0" applyNumberFormat="1" applyFont="1" applyFill="1" applyBorder="1"/>
    <xf numFmtId="0" fontId="20" fillId="0" borderId="7" xfId="0" applyFont="1" applyFill="1" applyBorder="1"/>
    <xf numFmtId="0" fontId="20" fillId="0" borderId="7" xfId="0" applyFont="1" applyFill="1" applyBorder="1" applyAlignment="1"/>
    <xf numFmtId="0" fontId="20" fillId="0" borderId="12" xfId="4" applyFont="1" applyFill="1" applyBorder="1"/>
    <xf numFmtId="0" fontId="20" fillId="0" borderId="6" xfId="0" applyFont="1" applyFill="1" applyBorder="1" applyAlignment="1"/>
    <xf numFmtId="0" fontId="20" fillId="0" borderId="7" xfId="4" applyFont="1" applyFill="1" applyBorder="1"/>
    <xf numFmtId="0" fontId="18" fillId="0" borderId="6" xfId="0" applyFont="1" applyFill="1" applyBorder="1" applyAlignment="1"/>
    <xf numFmtId="0" fontId="16" fillId="0" borderId="7" xfId="0" applyFont="1" applyFill="1" applyBorder="1"/>
    <xf numFmtId="0" fontId="16" fillId="0" borderId="7" xfId="0" applyFont="1" applyFill="1" applyBorder="1" applyAlignment="1"/>
    <xf numFmtId="0" fontId="16" fillId="0" borderId="7" xfId="4" applyFont="1" applyFill="1" applyBorder="1"/>
    <xf numFmtId="0" fontId="16" fillId="0" borderId="6" xfId="0" applyFont="1" applyFill="1" applyBorder="1" applyAlignment="1"/>
    <xf numFmtId="0" fontId="18" fillId="0" borderId="7" xfId="4" applyFont="1" applyFill="1" applyBorder="1"/>
    <xf numFmtId="0" fontId="19" fillId="0" borderId="6" xfId="0" applyFont="1" applyFill="1" applyBorder="1" applyAlignment="1"/>
    <xf numFmtId="0" fontId="19" fillId="0" borderId="7" xfId="4" applyFont="1" applyFill="1" applyBorder="1"/>
    <xf numFmtId="0" fontId="11" fillId="0" borderId="0" xfId="0" applyFont="1" applyFill="1"/>
    <xf numFmtId="0" fontId="17" fillId="0" borderId="7" xfId="0" applyFont="1" applyFill="1" applyBorder="1"/>
    <xf numFmtId="0" fontId="16" fillId="0" borderId="13" xfId="4" applyFont="1" applyFill="1" applyBorder="1"/>
    <xf numFmtId="0" fontId="17" fillId="0" borderId="7" xfId="0" applyFont="1" applyFill="1" applyBorder="1" applyProtection="1"/>
    <xf numFmtId="0" fontId="16" fillId="0" borderId="7" xfId="0" applyFont="1" applyFill="1" applyBorder="1" applyProtection="1"/>
    <xf numFmtId="0" fontId="16" fillId="0" borderId="12" xfId="4" applyFont="1" applyFill="1" applyBorder="1"/>
    <xf numFmtId="0" fontId="17" fillId="0" borderId="12" xfId="0" applyFont="1" applyFill="1" applyBorder="1" applyProtection="1"/>
    <xf numFmtId="0" fontId="16" fillId="0" borderId="12" xfId="0" applyFont="1" applyFill="1" applyBorder="1" applyProtection="1"/>
    <xf numFmtId="0" fontId="18" fillId="0" borderId="7" xfId="0" applyFont="1" applyFill="1" applyBorder="1" applyProtection="1"/>
    <xf numFmtId="0" fontId="20" fillId="0" borderId="7" xfId="0" applyFont="1" applyFill="1" applyBorder="1" applyProtection="1"/>
    <xf numFmtId="0" fontId="20" fillId="0" borderId="13" xfId="4" applyFont="1" applyFill="1" applyBorder="1"/>
    <xf numFmtId="0" fontId="16" fillId="0" borderId="0" xfId="0" applyFont="1" applyFill="1"/>
    <xf numFmtId="0" fontId="18" fillId="0" borderId="7" xfId="0" applyFont="1" applyFill="1" applyBorder="1"/>
    <xf numFmtId="0" fontId="19" fillId="0" borderId="0" xfId="0" applyFont="1" applyFill="1"/>
    <xf numFmtId="0" fontId="20" fillId="0" borderId="0" xfId="0" applyFont="1" applyFill="1"/>
    <xf numFmtId="0" fontId="18" fillId="0" borderId="13" xfId="4" applyFont="1" applyFill="1" applyBorder="1"/>
    <xf numFmtId="0" fontId="13" fillId="7" borderId="8" xfId="0" applyFont="1" applyFill="1" applyBorder="1" applyAlignment="1">
      <alignment horizontal="center" vertical="center"/>
    </xf>
    <xf numFmtId="0" fontId="25" fillId="9" borderId="8" xfId="0" applyFont="1" applyFill="1" applyBorder="1" applyAlignment="1">
      <alignment horizontal="center" vertical="center"/>
    </xf>
    <xf numFmtId="0" fontId="25" fillId="9" borderId="8" xfId="0" quotePrefix="1" applyFont="1" applyFill="1" applyBorder="1" applyAlignment="1">
      <alignment horizontal="center" vertical="center"/>
    </xf>
    <xf numFmtId="0" fontId="24" fillId="7" borderId="8" xfId="0" applyFont="1" applyFill="1" applyBorder="1" applyAlignment="1">
      <alignment horizontal="center" vertical="center"/>
    </xf>
    <xf numFmtId="0" fontId="20" fillId="0" borderId="8" xfId="0" applyFont="1" applyFill="1" applyBorder="1"/>
    <xf numFmtId="0" fontId="16" fillId="0" borderId="8" xfId="0" applyFont="1" applyFill="1" applyBorder="1"/>
    <xf numFmtId="0" fontId="11" fillId="0" borderId="8" xfId="0" applyFont="1" applyFill="1" applyBorder="1"/>
    <xf numFmtId="0" fontId="16" fillId="6" borderId="8" xfId="0" applyFont="1" applyFill="1" applyBorder="1"/>
    <xf numFmtId="0" fontId="10" fillId="6" borderId="0" xfId="0" applyFont="1" applyFill="1" applyBorder="1"/>
    <xf numFmtId="0" fontId="11" fillId="6" borderId="0" xfId="0" applyFont="1" applyFill="1" applyBorder="1"/>
    <xf numFmtId="0" fontId="11" fillId="0" borderId="0" xfId="0" applyFont="1" applyBorder="1"/>
    <xf numFmtId="0" fontId="20" fillId="0" borderId="0" xfId="0" applyFont="1" applyFill="1" applyBorder="1" applyAlignment="1"/>
    <xf numFmtId="0" fontId="16" fillId="0" borderId="0" xfId="0" applyFont="1" applyFill="1" applyBorder="1" applyAlignment="1"/>
    <xf numFmtId="0" fontId="18" fillId="0" borderId="0" xfId="0" applyFont="1" applyFill="1" applyBorder="1" applyAlignment="1"/>
    <xf numFmtId="0" fontId="19" fillId="0" borderId="0" xfId="0" applyFont="1" applyFill="1" applyBorder="1" applyAlignment="1"/>
    <xf numFmtId="0" fontId="18" fillId="6" borderId="0" xfId="0" applyFont="1" applyFill="1" applyBorder="1" applyAlignment="1"/>
    <xf numFmtId="0" fontId="16" fillId="6" borderId="0" xfId="0" applyFont="1" applyFill="1" applyBorder="1" applyAlignment="1"/>
    <xf numFmtId="0" fontId="27" fillId="10" borderId="0" xfId="0" applyFont="1" applyFill="1" applyBorder="1" applyAlignment="1">
      <alignment horizontal="center" vertical="center"/>
    </xf>
    <xf numFmtId="0" fontId="24" fillId="11" borderId="0" xfId="0" applyFont="1" applyFill="1" applyBorder="1" applyAlignment="1">
      <alignment horizontal="center" vertical="center"/>
    </xf>
    <xf numFmtId="0" fontId="13" fillId="7" borderId="6" xfId="0" applyFont="1" applyFill="1" applyBorder="1" applyAlignment="1">
      <alignment horizontal="center" vertical="center"/>
    </xf>
    <xf numFmtId="0" fontId="25" fillId="9" borderId="6" xfId="0" applyFont="1" applyFill="1" applyBorder="1" applyAlignment="1">
      <alignment horizontal="center" vertical="center"/>
    </xf>
    <xf numFmtId="0" fontId="25" fillId="9" borderId="6" xfId="0" quotePrefix="1" applyFont="1" applyFill="1" applyBorder="1" applyAlignment="1">
      <alignment horizontal="center" vertical="center"/>
    </xf>
    <xf numFmtId="0" fontId="19" fillId="0" borderId="0" xfId="0" applyFont="1"/>
    <xf numFmtId="0" fontId="17" fillId="0" borderId="7" xfId="4" applyFont="1" applyFill="1" applyBorder="1"/>
    <xf numFmtId="0" fontId="11" fillId="0" borderId="7" xfId="4" applyFont="1" applyBorder="1"/>
    <xf numFmtId="0" fontId="17" fillId="0" borderId="7" xfId="4" applyFont="1" applyBorder="1"/>
    <xf numFmtId="0" fontId="11" fillId="0" borderId="7" xfId="4" applyFont="1" applyFill="1" applyBorder="1"/>
    <xf numFmtId="0" fontId="10" fillId="3" borderId="6" xfId="0" applyFont="1" applyFill="1" applyBorder="1" applyAlignment="1">
      <alignment horizontal="center" vertical="center" wrapText="1"/>
    </xf>
    <xf numFmtId="0" fontId="10" fillId="3" borderId="6" xfId="0" applyFont="1" applyFill="1" applyBorder="1" applyAlignment="1">
      <alignment horizontal="center" wrapText="1"/>
    </xf>
    <xf numFmtId="0" fontId="10" fillId="3" borderId="0" xfId="0" applyFont="1" applyFill="1" applyBorder="1" applyAlignment="1">
      <alignment horizontal="center" wrapText="1"/>
    </xf>
    <xf numFmtId="0" fontId="12" fillId="8" borderId="0" xfId="0" applyFont="1" applyFill="1" applyBorder="1" applyAlignment="1">
      <alignment horizontal="center" wrapText="1"/>
    </xf>
    <xf numFmtId="0" fontId="21" fillId="8" borderId="0" xfId="0" applyFont="1" applyFill="1" applyBorder="1" applyAlignment="1">
      <alignment horizontal="center" wrapText="1"/>
    </xf>
    <xf numFmtId="0" fontId="12" fillId="8" borderId="11" xfId="0" applyFont="1" applyFill="1" applyBorder="1" applyAlignment="1">
      <alignment horizontal="center" wrapText="1"/>
    </xf>
    <xf numFmtId="0" fontId="10" fillId="3" borderId="6" xfId="0" applyFont="1" applyFill="1" applyBorder="1" applyAlignment="1" applyProtection="1">
      <alignment horizontal="center" vertical="center" wrapText="1"/>
    </xf>
    <xf numFmtId="0" fontId="12" fillId="8" borderId="0" xfId="0" applyFont="1" applyFill="1" applyBorder="1" applyAlignment="1" applyProtection="1">
      <alignment horizontal="center" wrapText="1"/>
    </xf>
    <xf numFmtId="0" fontId="21" fillId="8" borderId="0" xfId="0" applyFont="1" applyFill="1" applyBorder="1" applyAlignment="1" applyProtection="1">
      <alignment horizontal="center" wrapText="1"/>
    </xf>
    <xf numFmtId="0" fontId="12" fillId="8" borderId="11" xfId="0" applyFont="1" applyFill="1" applyBorder="1" applyAlignment="1" applyProtection="1">
      <alignment horizontal="center" wrapText="1"/>
    </xf>
    <xf numFmtId="0" fontId="10" fillId="3" borderId="6" xfId="0" applyFont="1" applyFill="1" applyBorder="1" applyAlignment="1" applyProtection="1">
      <alignment horizontal="center" wrapText="1"/>
    </xf>
    <xf numFmtId="0" fontId="10" fillId="3" borderId="0" xfId="0" applyFont="1" applyFill="1" applyBorder="1" applyAlignment="1">
      <alignment horizontal="center" vertical="center" wrapText="1"/>
    </xf>
    <xf numFmtId="0" fontId="21" fillId="3" borderId="0" xfId="0" applyFont="1" applyFill="1" applyBorder="1" applyAlignment="1">
      <alignment horizontal="center" wrapText="1"/>
    </xf>
  </cellXfs>
  <cellStyles count="6">
    <cellStyle name="Normal" xfId="0" builtinId="0"/>
    <cellStyle name="Normal 2" xfId="1" xr:uid="{00000000-0005-0000-0000-000001000000}"/>
    <cellStyle name="Normal 2 2" xfId="3" xr:uid="{00000000-0005-0000-0000-000002000000}"/>
    <cellStyle name="Normal 2 3" xfId="5" xr:uid="{00000000-0005-0000-0000-000003000000}"/>
    <cellStyle name="Normal 3" xfId="2" xr:uid="{00000000-0005-0000-0000-000004000000}"/>
    <cellStyle name="Normal 4" xfId="4" xr:uid="{00000000-0005-0000-0000-000005000000}"/>
  </cellStyles>
  <dxfs count="198">
    <dxf>
      <font>
        <strike val="0"/>
      </font>
      <fill>
        <patternFill>
          <bgColor rgb="FFE7F2FF"/>
        </patternFill>
      </fill>
    </dxf>
    <dxf>
      <fill>
        <patternFill>
          <bgColor rgb="FFCFE5FF"/>
        </patternFill>
      </fill>
    </dxf>
    <dxf>
      <fill>
        <patternFill>
          <bgColor rgb="FF4D4D4D"/>
        </patternFill>
      </fill>
    </dxf>
    <dxf>
      <fill>
        <patternFill>
          <bgColor rgb="FF333333"/>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ill>
        <patternFill>
          <bgColor rgb="FFEAEAEA"/>
        </patternFill>
      </fill>
    </dxf>
    <dxf>
      <fill>
        <patternFill>
          <bgColor rgb="FFDDDDDD"/>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ill>
        <patternFill>
          <bgColor rgb="FFEAEAEA"/>
        </patternFill>
      </fill>
    </dxf>
    <dxf>
      <fill>
        <patternFill>
          <bgColor rgb="FFDDDDDD"/>
        </patternFill>
      </fill>
    </dxf>
    <dxf>
      <fill>
        <patternFill>
          <bgColor rgb="FF4D4D4D"/>
        </patternFill>
      </fill>
    </dxf>
    <dxf>
      <fill>
        <patternFill>
          <bgColor rgb="FF333333"/>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ont>
        <strike val="0"/>
      </font>
      <fill>
        <patternFill>
          <bgColor rgb="FFE7F2FF"/>
        </patternFill>
      </fill>
    </dxf>
    <dxf>
      <fill>
        <patternFill>
          <bgColor rgb="FFCFE5FF"/>
        </patternFill>
      </fill>
    </dxf>
    <dxf>
      <fill>
        <patternFill>
          <bgColor rgb="FFEAEAEA"/>
        </patternFill>
      </fill>
    </dxf>
    <dxf>
      <fill>
        <patternFill>
          <bgColor rgb="FFDDDDDD"/>
        </patternFill>
      </fill>
    </dxf>
    <dxf>
      <fill>
        <patternFill>
          <bgColor rgb="FF4D4D4D"/>
        </patternFill>
      </fill>
    </dxf>
    <dxf>
      <fill>
        <patternFill>
          <bgColor rgb="FF333333"/>
        </patternFill>
      </fill>
    </dxf>
  </dxfs>
  <tableStyles count="0" defaultTableStyle="TableStyleMedium9" defaultPivotStyle="PivotStyleLight16"/>
  <colors>
    <mruColors>
      <color rgb="FF969696"/>
      <color rgb="FF415E7F"/>
      <color rgb="FF0B73E4"/>
      <color rgb="FF074C97"/>
      <color rgb="FF4F96E4"/>
      <color rgb="FFCFE5FF"/>
      <color rgb="FF3A6FA8"/>
      <color rgb="FFA5B7CC"/>
      <color rgb="FF333333"/>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xml.rels><?xml version="1.0" encoding="UTF-8" standalone="yes"?>
<Relationships xmlns="http://schemas.openxmlformats.org/package/2006/relationships"><Relationship Id="rId1" Type="http://schemas.openxmlformats.org/officeDocument/2006/relationships/image" Target="../media/image27.png"/></Relationships>
</file>

<file path=xl/drawings/_rels/drawing3.xml.rels><?xml version="1.0" encoding="UTF-8" standalone="yes"?>
<Relationships xmlns="http://schemas.openxmlformats.org/package/2006/relationships"><Relationship Id="rId1" Type="http://schemas.openxmlformats.org/officeDocument/2006/relationships/image" Target="../media/image27.png"/></Relationships>
</file>

<file path=xl/drawings/_rels/drawing4.xml.rels><?xml version="1.0" encoding="UTF-8" standalone="yes"?>
<Relationships xmlns="http://schemas.openxmlformats.org/package/2006/relationships"><Relationship Id="rId1" Type="http://schemas.openxmlformats.org/officeDocument/2006/relationships/image" Target="../media/image27.png"/></Relationships>
</file>

<file path=xl/drawings/_rels/drawing5.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7.emf"/><Relationship Id="rId18" Type="http://schemas.openxmlformats.org/officeDocument/2006/relationships/image" Target="../media/image4.emf"/><Relationship Id="rId3" Type="http://schemas.openxmlformats.org/officeDocument/2006/relationships/image" Target="../media/image8.emf"/><Relationship Id="rId21" Type="http://schemas.openxmlformats.org/officeDocument/2006/relationships/image" Target="../media/image22.emf"/><Relationship Id="rId7" Type="http://schemas.openxmlformats.org/officeDocument/2006/relationships/image" Target="../media/image12.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7.emf"/><Relationship Id="rId16" Type="http://schemas.openxmlformats.org/officeDocument/2006/relationships/image" Target="../media/image20.emf"/><Relationship Id="rId20" Type="http://schemas.openxmlformats.org/officeDocument/2006/relationships/image" Target="../media/image2.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5.emf"/><Relationship Id="rId24" Type="http://schemas.openxmlformats.org/officeDocument/2006/relationships/image" Target="../media/image1.emf"/><Relationship Id="rId5" Type="http://schemas.openxmlformats.org/officeDocument/2006/relationships/image" Target="../media/image10.emf"/><Relationship Id="rId15" Type="http://schemas.openxmlformats.org/officeDocument/2006/relationships/image" Target="../media/image19.emf"/><Relationship Id="rId23" Type="http://schemas.openxmlformats.org/officeDocument/2006/relationships/image" Target="../media/image24.emf"/><Relationship Id="rId10" Type="http://schemas.openxmlformats.org/officeDocument/2006/relationships/image" Target="../media/image5.emf"/><Relationship Id="rId19" Type="http://schemas.openxmlformats.org/officeDocument/2006/relationships/image" Target="../media/image3.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8.emf"/><Relationship Id="rId22" Type="http://schemas.openxmlformats.org/officeDocument/2006/relationships/image" Target="../media/image2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16</xdr:col>
      <xdr:colOff>0</xdr:colOff>
      <xdr:row>20</xdr:row>
      <xdr:rowOff>19050</xdr:rowOff>
    </xdr:from>
    <xdr:to>
      <xdr:col>19</xdr:col>
      <xdr:colOff>504825</xdr:colOff>
      <xdr:row>23</xdr:row>
      <xdr:rowOff>19050</xdr:rowOff>
    </xdr:to>
    <xdr:sp macro="" textlink="">
      <xdr:nvSpPr>
        <xdr:cNvPr id="2" name="AutoShape 1">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8534400" y="3257550"/>
          <a:ext cx="2333625" cy="485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absolute">
    <xdr:from>
      <xdr:col>0</xdr:col>
      <xdr:colOff>47625</xdr:colOff>
      <xdr:row>0</xdr:row>
      <xdr:rowOff>133350</xdr:rowOff>
    </xdr:from>
    <xdr:to>
      <xdr:col>1</xdr:col>
      <xdr:colOff>1323975</xdr:colOff>
      <xdr:row>4</xdr:row>
      <xdr:rowOff>47625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14" t="39887" r="20833" b="39649"/>
        <a:stretch/>
      </xdr:blipFill>
      <xdr:spPr>
        <a:xfrm>
          <a:off x="47625" y="133350"/>
          <a:ext cx="2228850" cy="5619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495300</xdr:colOff>
          <xdr:row>12</xdr:row>
          <xdr:rowOff>76200</xdr:rowOff>
        </xdr:from>
        <xdr:to>
          <xdr:col>3</xdr:col>
          <xdr:colOff>1866900</xdr:colOff>
          <xdr:row>14</xdr:row>
          <xdr:rowOff>0</xdr:rowOff>
        </xdr:to>
        <xdr:sp macro="" textlink="">
          <xdr:nvSpPr>
            <xdr:cNvPr id="1025" name="CheckBox_MercuryCA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12</xdr:row>
          <xdr:rowOff>47625</xdr:rowOff>
        </xdr:from>
        <xdr:to>
          <xdr:col>1</xdr:col>
          <xdr:colOff>1943100</xdr:colOff>
          <xdr:row>13</xdr:row>
          <xdr:rowOff>133350</xdr:rowOff>
        </xdr:to>
        <xdr:sp macro="" textlink="">
          <xdr:nvSpPr>
            <xdr:cNvPr id="1026" name="CheckBox_MercuryKX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14</xdr:row>
          <xdr:rowOff>19050</xdr:rowOff>
        </xdr:from>
        <xdr:to>
          <xdr:col>3</xdr:col>
          <xdr:colOff>1866900</xdr:colOff>
          <xdr:row>15</xdr:row>
          <xdr:rowOff>104775</xdr:rowOff>
        </xdr:to>
        <xdr:sp macro="" textlink="">
          <xdr:nvSpPr>
            <xdr:cNvPr id="1027" name="CheckBox_MercurySA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15</xdr:row>
          <xdr:rowOff>114300</xdr:rowOff>
        </xdr:from>
        <xdr:to>
          <xdr:col>1</xdr:col>
          <xdr:colOff>1943100</xdr:colOff>
          <xdr:row>17</xdr:row>
          <xdr:rowOff>38100</xdr:rowOff>
        </xdr:to>
        <xdr:sp macro="" textlink="">
          <xdr:nvSpPr>
            <xdr:cNvPr id="1028" name="CheckBox_MercuryZX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12</xdr:row>
          <xdr:rowOff>47625</xdr:rowOff>
        </xdr:from>
        <xdr:to>
          <xdr:col>5</xdr:col>
          <xdr:colOff>1914525</xdr:colOff>
          <xdr:row>13</xdr:row>
          <xdr:rowOff>133350</xdr:rowOff>
        </xdr:to>
        <xdr:sp macro="" textlink="">
          <xdr:nvSpPr>
            <xdr:cNvPr id="1029" name="CheckBox_MercuryStart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1504950</xdr:colOff>
          <xdr:row>28</xdr:row>
          <xdr:rowOff>85725</xdr:rowOff>
        </xdr:from>
        <xdr:to>
          <xdr:col>1</xdr:col>
          <xdr:colOff>2266950</xdr:colOff>
          <xdr:row>30</xdr:row>
          <xdr:rowOff>57150</xdr:rowOff>
        </xdr:to>
        <xdr:sp macro="" textlink="">
          <xdr:nvSpPr>
            <xdr:cNvPr id="1031" name="Button_SelectAllXilinxModules"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1495425</xdr:colOff>
          <xdr:row>28</xdr:row>
          <xdr:rowOff>76200</xdr:rowOff>
        </xdr:from>
        <xdr:to>
          <xdr:col>5</xdr:col>
          <xdr:colOff>2257425</xdr:colOff>
          <xdr:row>30</xdr:row>
          <xdr:rowOff>47625</xdr:rowOff>
        </xdr:to>
        <xdr:sp macro="" textlink="">
          <xdr:nvSpPr>
            <xdr:cNvPr id="1032" name="CommandButton_SelectAllBoards"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xdr:row>
          <xdr:rowOff>57150</xdr:rowOff>
        </xdr:from>
        <xdr:to>
          <xdr:col>6</xdr:col>
          <xdr:colOff>0</xdr:colOff>
          <xdr:row>36</xdr:row>
          <xdr:rowOff>47625</xdr:rowOff>
        </xdr:to>
        <xdr:sp macro="" textlink="">
          <xdr:nvSpPr>
            <xdr:cNvPr id="1033" name="CommandButton_ViewConnectorA"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13</xdr:row>
          <xdr:rowOff>142875</xdr:rowOff>
        </xdr:from>
        <xdr:to>
          <xdr:col>5</xdr:col>
          <xdr:colOff>1914525</xdr:colOff>
          <xdr:row>15</xdr:row>
          <xdr:rowOff>66675</xdr:rowOff>
        </xdr:to>
        <xdr:sp macro="" textlink="">
          <xdr:nvSpPr>
            <xdr:cNvPr id="1034" name="CheckBox_MercuryPE1"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28575</xdr:rowOff>
        </xdr:from>
        <xdr:to>
          <xdr:col>6</xdr:col>
          <xdr:colOff>0</xdr:colOff>
          <xdr:row>39</xdr:row>
          <xdr:rowOff>19050</xdr:rowOff>
        </xdr:to>
        <xdr:sp macro="" textlink="">
          <xdr:nvSpPr>
            <xdr:cNvPr id="1035" name="CommandButton_ViewConnectorB"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17</xdr:row>
          <xdr:rowOff>95250</xdr:rowOff>
        </xdr:from>
        <xdr:to>
          <xdr:col>1</xdr:col>
          <xdr:colOff>1943100</xdr:colOff>
          <xdr:row>19</xdr:row>
          <xdr:rowOff>9525</xdr:rowOff>
        </xdr:to>
        <xdr:sp macro="" textlink="">
          <xdr:nvSpPr>
            <xdr:cNvPr id="1036" name="CheckBox_MercuryZX5"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9525</xdr:rowOff>
        </xdr:from>
        <xdr:to>
          <xdr:col>5</xdr:col>
          <xdr:colOff>2371725</xdr:colOff>
          <xdr:row>42</xdr:row>
          <xdr:rowOff>0</xdr:rowOff>
        </xdr:to>
        <xdr:sp macro="" textlink="">
          <xdr:nvSpPr>
            <xdr:cNvPr id="1037" name="CommandButton_ViewConnectorC"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15</xdr:row>
          <xdr:rowOff>66675</xdr:rowOff>
        </xdr:from>
        <xdr:to>
          <xdr:col>5</xdr:col>
          <xdr:colOff>1914525</xdr:colOff>
          <xdr:row>16</xdr:row>
          <xdr:rowOff>152400</xdr:rowOff>
        </xdr:to>
        <xdr:sp macro="" textlink="">
          <xdr:nvSpPr>
            <xdr:cNvPr id="1038" name="CheckBox_MercuryEV2"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17</xdr:row>
          <xdr:rowOff>66675</xdr:rowOff>
        </xdr:from>
        <xdr:to>
          <xdr:col>3</xdr:col>
          <xdr:colOff>1866900</xdr:colOff>
          <xdr:row>18</xdr:row>
          <xdr:rowOff>152400</xdr:rowOff>
        </xdr:to>
        <xdr:sp macro="" textlink="">
          <xdr:nvSpPr>
            <xdr:cNvPr id="1039" name="CheckBox_MercuryAA1"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19</xdr:row>
          <xdr:rowOff>47625</xdr:rowOff>
        </xdr:from>
        <xdr:to>
          <xdr:col>1</xdr:col>
          <xdr:colOff>1943100</xdr:colOff>
          <xdr:row>20</xdr:row>
          <xdr:rowOff>133350</xdr:rowOff>
        </xdr:to>
        <xdr:sp macro="" textlink="">
          <xdr:nvSpPr>
            <xdr:cNvPr id="1040" name="CheckBox_MercuryXU1"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21</xdr:row>
          <xdr:rowOff>9525</xdr:rowOff>
        </xdr:from>
        <xdr:to>
          <xdr:col>1</xdr:col>
          <xdr:colOff>1943100</xdr:colOff>
          <xdr:row>22</xdr:row>
          <xdr:rowOff>95250</xdr:rowOff>
        </xdr:to>
        <xdr:sp macro="" textlink="">
          <xdr:nvSpPr>
            <xdr:cNvPr id="1041" name="CheckBox_MercuryXU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22</xdr:row>
          <xdr:rowOff>152400</xdr:rowOff>
        </xdr:from>
        <xdr:to>
          <xdr:col>1</xdr:col>
          <xdr:colOff>1943100</xdr:colOff>
          <xdr:row>24</xdr:row>
          <xdr:rowOff>66675</xdr:rowOff>
        </xdr:to>
        <xdr:sp macro="" textlink="">
          <xdr:nvSpPr>
            <xdr:cNvPr id="1042" name="CheckBox_MercuryXU7"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28</xdr:row>
          <xdr:rowOff>76200</xdr:rowOff>
        </xdr:from>
        <xdr:to>
          <xdr:col>1</xdr:col>
          <xdr:colOff>895350</xdr:colOff>
          <xdr:row>30</xdr:row>
          <xdr:rowOff>47625</xdr:rowOff>
        </xdr:to>
        <xdr:sp macro="" textlink="">
          <xdr:nvSpPr>
            <xdr:cNvPr id="1043" name="Button_SelectNoXilinxModules"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28</xdr:row>
          <xdr:rowOff>76200</xdr:rowOff>
        </xdr:from>
        <xdr:to>
          <xdr:col>5</xdr:col>
          <xdr:colOff>914400</xdr:colOff>
          <xdr:row>30</xdr:row>
          <xdr:rowOff>47625</xdr:rowOff>
        </xdr:to>
        <xdr:sp macro="" textlink="">
          <xdr:nvSpPr>
            <xdr:cNvPr id="1044" name="CommandButton_SelectNoBoard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15</xdr:row>
          <xdr:rowOff>123825</xdr:rowOff>
        </xdr:from>
        <xdr:to>
          <xdr:col>3</xdr:col>
          <xdr:colOff>1866900</xdr:colOff>
          <xdr:row>17</xdr:row>
          <xdr:rowOff>47625</xdr:rowOff>
        </xdr:to>
        <xdr:sp macro="" textlink="">
          <xdr:nvSpPr>
            <xdr:cNvPr id="1045" name="CheckBox_MercurySA2"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76200</xdr:rowOff>
        </xdr:from>
        <xdr:to>
          <xdr:col>3</xdr:col>
          <xdr:colOff>895350</xdr:colOff>
          <xdr:row>30</xdr:row>
          <xdr:rowOff>47625</xdr:rowOff>
        </xdr:to>
        <xdr:sp macro="" textlink="">
          <xdr:nvSpPr>
            <xdr:cNvPr id="1046" name="Button_SelectNoAlteraModules"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1495425</xdr:colOff>
          <xdr:row>28</xdr:row>
          <xdr:rowOff>76200</xdr:rowOff>
        </xdr:from>
        <xdr:to>
          <xdr:col>3</xdr:col>
          <xdr:colOff>2257425</xdr:colOff>
          <xdr:row>30</xdr:row>
          <xdr:rowOff>47625</xdr:rowOff>
        </xdr:to>
        <xdr:sp macro="" textlink="">
          <xdr:nvSpPr>
            <xdr:cNvPr id="1047" name="Button_SelectAllAlteraModules"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14</xdr:row>
          <xdr:rowOff>0</xdr:rowOff>
        </xdr:from>
        <xdr:to>
          <xdr:col>1</xdr:col>
          <xdr:colOff>1943100</xdr:colOff>
          <xdr:row>15</xdr:row>
          <xdr:rowOff>85725</xdr:rowOff>
        </xdr:to>
        <xdr:sp macro="" textlink="">
          <xdr:nvSpPr>
            <xdr:cNvPr id="1049" name="CheckBox_MercuryKX2"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24</xdr:row>
          <xdr:rowOff>123825</xdr:rowOff>
        </xdr:from>
        <xdr:to>
          <xdr:col>1</xdr:col>
          <xdr:colOff>1943100</xdr:colOff>
          <xdr:row>26</xdr:row>
          <xdr:rowOff>38100</xdr:rowOff>
        </xdr:to>
        <xdr:sp macro="" textlink="">
          <xdr:nvSpPr>
            <xdr:cNvPr id="1050" name="CheckBox_MercuryXU8"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514350</xdr:colOff>
      <xdr:row>87</xdr:row>
      <xdr:rowOff>85725</xdr:rowOff>
    </xdr:from>
    <xdr:to>
      <xdr:col>0</xdr:col>
      <xdr:colOff>1266825</xdr:colOff>
      <xdr:row>90</xdr:row>
      <xdr:rowOff>138352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srcRect r="66277"/>
        <a:stretch/>
      </xdr:blipFill>
      <xdr:spPr>
        <a:xfrm>
          <a:off x="514350" y="15763875"/>
          <a:ext cx="752475" cy="5669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485775</xdr:colOff>
          <xdr:row>6</xdr:row>
          <xdr:rowOff>47625</xdr:rowOff>
        </xdr:from>
        <xdr:to>
          <xdr:col>0</xdr:col>
          <xdr:colOff>1304925</xdr:colOff>
          <xdr:row>7</xdr:row>
          <xdr:rowOff>152400</xdr:rowOff>
        </xdr:to>
        <xdr:sp macro="" textlink="">
          <xdr:nvSpPr>
            <xdr:cNvPr id="2049" name="CommandButton_ViewSetting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514350</xdr:colOff>
      <xdr:row>87</xdr:row>
      <xdr:rowOff>85725</xdr:rowOff>
    </xdr:from>
    <xdr:to>
      <xdr:col>0</xdr:col>
      <xdr:colOff>1266825</xdr:colOff>
      <xdr:row>90</xdr:row>
      <xdr:rowOff>138352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srcRect r="66277"/>
        <a:stretch/>
      </xdr:blipFill>
      <xdr:spPr>
        <a:xfrm>
          <a:off x="514350" y="15763875"/>
          <a:ext cx="752475" cy="5669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495300</xdr:colOff>
          <xdr:row>6</xdr:row>
          <xdr:rowOff>38100</xdr:rowOff>
        </xdr:from>
        <xdr:to>
          <xdr:col>0</xdr:col>
          <xdr:colOff>1314450</xdr:colOff>
          <xdr:row>7</xdr:row>
          <xdr:rowOff>161925</xdr:rowOff>
        </xdr:to>
        <xdr:sp macro="" textlink="">
          <xdr:nvSpPr>
            <xdr:cNvPr id="3074" name="CommandButton_ViewSettings"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514350</xdr:colOff>
      <xdr:row>87</xdr:row>
      <xdr:rowOff>85725</xdr:rowOff>
    </xdr:from>
    <xdr:to>
      <xdr:col>0</xdr:col>
      <xdr:colOff>1266825</xdr:colOff>
      <xdr:row>90</xdr:row>
      <xdr:rowOff>138352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srcRect r="66277"/>
        <a:stretch/>
      </xdr:blipFill>
      <xdr:spPr>
        <a:xfrm>
          <a:off x="514350" y="14820900"/>
          <a:ext cx="752475" cy="5669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495300</xdr:colOff>
          <xdr:row>6</xdr:row>
          <xdr:rowOff>38100</xdr:rowOff>
        </xdr:from>
        <xdr:to>
          <xdr:col>0</xdr:col>
          <xdr:colOff>1314450</xdr:colOff>
          <xdr:row>7</xdr:row>
          <xdr:rowOff>161925</xdr:rowOff>
        </xdr:to>
        <xdr:sp macro="" textlink="">
          <xdr:nvSpPr>
            <xdr:cNvPr id="4097" name="CommandButton_ViewSetting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561975</xdr:colOff>
      <xdr:row>112</xdr:row>
      <xdr:rowOff>104775</xdr:rowOff>
    </xdr:from>
    <xdr:to>
      <xdr:col>0</xdr:col>
      <xdr:colOff>609600</xdr:colOff>
      <xdr:row>115</xdr:row>
      <xdr:rowOff>14527</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srcRect r="66277"/>
        <a:stretch/>
      </xdr:blipFill>
      <xdr:spPr>
        <a:xfrm>
          <a:off x="561975" y="22564725"/>
          <a:ext cx="752475" cy="5384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6.emf"/><Relationship Id="rId4"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8.emf"/><Relationship Id="rId4" Type="http://schemas.openxmlformats.org/officeDocument/2006/relationships/control" Target="../activeX/activeX2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29.emf"/><Relationship Id="rId4" Type="http://schemas.openxmlformats.org/officeDocument/2006/relationships/control" Target="../activeX/activeX2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tingsSheet"/>
  <dimension ref="A2:J31"/>
  <sheetViews>
    <sheetView showGridLines="0" showRowColHeaders="0" tabSelected="1" zoomScaleNormal="100" workbookViewId="0">
      <selection activeCell="B33" sqref="B33"/>
    </sheetView>
  </sheetViews>
  <sheetFormatPr defaultColWidth="9.140625" defaultRowHeight="12.75"/>
  <cols>
    <col min="1" max="1" width="14.28515625" style="5" customWidth="1"/>
    <col min="2" max="2" width="35.7109375" style="5" customWidth="1"/>
    <col min="3" max="3" width="14.28515625" style="5" customWidth="1"/>
    <col min="4" max="4" width="35.7109375" style="5" customWidth="1"/>
    <col min="5" max="5" width="14.28515625" style="5" customWidth="1"/>
    <col min="6" max="6" width="35.7109375" style="5" customWidth="1"/>
    <col min="7" max="16384" width="9.140625" style="5"/>
  </cols>
  <sheetData>
    <row r="2" spans="2:6">
      <c r="D2" s="120"/>
      <c r="F2" s="6" t="s">
        <v>242</v>
      </c>
    </row>
    <row r="3" spans="2:6">
      <c r="D3" s="7"/>
      <c r="F3" s="7" t="s">
        <v>243</v>
      </c>
    </row>
    <row r="4" spans="2:6">
      <c r="D4" s="7"/>
      <c r="F4" s="7" t="s">
        <v>244</v>
      </c>
    </row>
    <row r="7" spans="2:6" ht="25.5">
      <c r="B7" s="8" t="s">
        <v>514</v>
      </c>
    </row>
    <row r="9" spans="2:6" ht="17.25">
      <c r="B9" s="9" t="s">
        <v>245</v>
      </c>
    </row>
    <row r="11" spans="2:6" ht="18.75" customHeight="1">
      <c r="B11" s="11" t="s">
        <v>2178</v>
      </c>
      <c r="D11" s="11" t="s">
        <v>2179</v>
      </c>
      <c r="F11" s="11" t="s">
        <v>515</v>
      </c>
    </row>
    <row r="12" spans="2:6">
      <c r="B12" s="12"/>
      <c r="D12" s="12"/>
      <c r="F12" s="12"/>
    </row>
    <row r="13" spans="2:6">
      <c r="B13" s="12"/>
      <c r="D13" s="12"/>
      <c r="F13" s="12"/>
    </row>
    <row r="14" spans="2:6">
      <c r="B14" s="12"/>
      <c r="D14" s="12"/>
      <c r="F14" s="12"/>
    </row>
    <row r="15" spans="2:6">
      <c r="B15" s="12"/>
      <c r="D15" s="12"/>
      <c r="F15" s="12"/>
    </row>
    <row r="16" spans="2:6">
      <c r="B16" s="12"/>
      <c r="D16" s="12"/>
      <c r="F16" s="12"/>
    </row>
    <row r="17" spans="1:10">
      <c r="B17" s="12"/>
      <c r="D17" s="12"/>
      <c r="F17" s="12"/>
    </row>
    <row r="18" spans="1:10">
      <c r="B18" s="12"/>
      <c r="D18" s="12"/>
      <c r="F18" s="12"/>
    </row>
    <row r="19" spans="1:10">
      <c r="B19" s="12"/>
      <c r="D19" s="12"/>
      <c r="F19" s="12"/>
      <c r="J19" s="10"/>
    </row>
    <row r="20" spans="1:10">
      <c r="B20" s="12"/>
      <c r="D20" s="12"/>
      <c r="F20" s="12"/>
    </row>
    <row r="21" spans="1:10">
      <c r="B21" s="12"/>
      <c r="D21" s="12"/>
      <c r="F21" s="12"/>
    </row>
    <row r="22" spans="1:10">
      <c r="B22" s="12"/>
      <c r="D22" s="12"/>
      <c r="F22" s="12"/>
    </row>
    <row r="23" spans="1:10">
      <c r="B23" s="12"/>
      <c r="D23" s="12"/>
      <c r="F23" s="12"/>
    </row>
    <row r="24" spans="1:10">
      <c r="B24" s="12"/>
      <c r="D24" s="12"/>
      <c r="F24" s="12"/>
    </row>
    <row r="25" spans="1:10">
      <c r="B25" s="12"/>
      <c r="D25" s="12"/>
      <c r="F25" s="12"/>
    </row>
    <row r="26" spans="1:10">
      <c r="A26" s="10"/>
      <c r="B26" s="12"/>
      <c r="C26" s="10"/>
      <c r="D26" s="12"/>
      <c r="E26" s="10"/>
      <c r="F26" s="12"/>
    </row>
    <row r="27" spans="1:10">
      <c r="B27" s="12"/>
      <c r="D27" s="12"/>
      <c r="F27" s="12"/>
    </row>
    <row r="28" spans="1:10">
      <c r="B28" s="12"/>
      <c r="D28" s="12"/>
      <c r="F28" s="12"/>
    </row>
    <row r="29" spans="1:10">
      <c r="B29" s="12"/>
      <c r="D29" s="12"/>
      <c r="F29" s="12"/>
    </row>
    <row r="30" spans="1:10">
      <c r="B30" s="12"/>
      <c r="D30" s="12"/>
      <c r="F30" s="12"/>
    </row>
    <row r="31" spans="1:10">
      <c r="B31" s="13"/>
      <c r="D31" s="13"/>
      <c r="F31" s="13"/>
    </row>
  </sheetData>
  <sheetProtection algorithmName="SHA-512" hashValue="JodwK6ELmZNxPruh2GcjOFMBEivDY3dAmOtfTt213Zd/jC3DB4vSF6o4GlBlBsdg9EcHbFiIU5XdsISwxqxg6Q==" saltValue="xaQoxUPj551SskC+nLD+Mw==" spinCount="100000" sheet="1" objects="1" scenarios="1"/>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50" r:id="rId4" name="CheckBox_MercuryXU8">
          <controlPr autoLine="0" r:id="rId5">
            <anchor moveWithCells="1">
              <from>
                <xdr:col>1</xdr:col>
                <xdr:colOff>571500</xdr:colOff>
                <xdr:row>24</xdr:row>
                <xdr:rowOff>123825</xdr:rowOff>
              </from>
              <to>
                <xdr:col>1</xdr:col>
                <xdr:colOff>1943100</xdr:colOff>
                <xdr:row>26</xdr:row>
                <xdr:rowOff>38100</xdr:rowOff>
              </to>
            </anchor>
          </controlPr>
        </control>
      </mc:Choice>
      <mc:Fallback>
        <control shapeId="1050" r:id="rId4" name="CheckBox_MercuryXU8"/>
      </mc:Fallback>
    </mc:AlternateContent>
    <mc:AlternateContent xmlns:mc="http://schemas.openxmlformats.org/markup-compatibility/2006">
      <mc:Choice Requires="x14">
        <control shapeId="1045" r:id="rId6" name="CheckBox_MercurySA2">
          <controlPr autoLine="0" r:id="rId7">
            <anchor moveWithCells="1">
              <from>
                <xdr:col>3</xdr:col>
                <xdr:colOff>495300</xdr:colOff>
                <xdr:row>15</xdr:row>
                <xdr:rowOff>123825</xdr:rowOff>
              </from>
              <to>
                <xdr:col>3</xdr:col>
                <xdr:colOff>1866900</xdr:colOff>
                <xdr:row>17</xdr:row>
                <xdr:rowOff>47625</xdr:rowOff>
              </to>
            </anchor>
          </controlPr>
        </control>
      </mc:Choice>
      <mc:Fallback>
        <control shapeId="1045" r:id="rId6" name="CheckBox_MercurySA2"/>
      </mc:Fallback>
    </mc:AlternateContent>
    <mc:AlternateContent xmlns:mc="http://schemas.openxmlformats.org/markup-compatibility/2006">
      <mc:Choice Requires="x14">
        <control shapeId="1044" r:id="rId8" name="CommandButton_SelectNoBoards">
          <controlPr defaultSize="0" autoLine="0" r:id="rId9">
            <anchor moveWithCells="1">
              <from>
                <xdr:col>5</xdr:col>
                <xdr:colOff>152400</xdr:colOff>
                <xdr:row>28</xdr:row>
                <xdr:rowOff>76200</xdr:rowOff>
              </from>
              <to>
                <xdr:col>5</xdr:col>
                <xdr:colOff>914400</xdr:colOff>
                <xdr:row>30</xdr:row>
                <xdr:rowOff>47625</xdr:rowOff>
              </to>
            </anchor>
          </controlPr>
        </control>
      </mc:Choice>
      <mc:Fallback>
        <control shapeId="1044" r:id="rId8" name="CommandButton_SelectNoBoards"/>
      </mc:Fallback>
    </mc:AlternateContent>
    <mc:AlternateContent xmlns:mc="http://schemas.openxmlformats.org/markup-compatibility/2006">
      <mc:Choice Requires="x14">
        <control shapeId="1043" r:id="rId10" name="Button_SelectNoXilinxModules">
          <controlPr defaultSize="0" autoLine="0" r:id="rId11">
            <anchor moveWithCells="1">
              <from>
                <xdr:col>1</xdr:col>
                <xdr:colOff>133350</xdr:colOff>
                <xdr:row>28</xdr:row>
                <xdr:rowOff>76200</xdr:rowOff>
              </from>
              <to>
                <xdr:col>1</xdr:col>
                <xdr:colOff>895350</xdr:colOff>
                <xdr:row>30</xdr:row>
                <xdr:rowOff>47625</xdr:rowOff>
              </to>
            </anchor>
          </controlPr>
        </control>
      </mc:Choice>
      <mc:Fallback>
        <control shapeId="1043" r:id="rId10" name="Button_SelectNoXilinxModules"/>
      </mc:Fallback>
    </mc:AlternateContent>
    <mc:AlternateContent xmlns:mc="http://schemas.openxmlformats.org/markup-compatibility/2006">
      <mc:Choice Requires="x14">
        <control shapeId="1035" r:id="rId12" name="CommandButton_ViewConnectorB">
          <controlPr defaultSize="0" autoLine="0" r:id="rId13">
            <anchor moveWithCells="1">
              <from>
                <xdr:col>1</xdr:col>
                <xdr:colOff>0</xdr:colOff>
                <xdr:row>37</xdr:row>
                <xdr:rowOff>28575</xdr:rowOff>
              </from>
              <to>
                <xdr:col>6</xdr:col>
                <xdr:colOff>0</xdr:colOff>
                <xdr:row>39</xdr:row>
                <xdr:rowOff>19050</xdr:rowOff>
              </to>
            </anchor>
          </controlPr>
        </control>
      </mc:Choice>
      <mc:Fallback>
        <control shapeId="1035" r:id="rId12" name="CommandButton_ViewConnectorB"/>
      </mc:Fallback>
    </mc:AlternateContent>
    <mc:AlternateContent xmlns:mc="http://schemas.openxmlformats.org/markup-compatibility/2006">
      <mc:Choice Requires="x14">
        <control shapeId="1025" r:id="rId14" name="CheckBox_MercuryCA1">
          <controlPr autoLine="0" r:id="rId15">
            <anchor moveWithCells="1">
              <from>
                <xdr:col>3</xdr:col>
                <xdr:colOff>495300</xdr:colOff>
                <xdr:row>12</xdr:row>
                <xdr:rowOff>76200</xdr:rowOff>
              </from>
              <to>
                <xdr:col>3</xdr:col>
                <xdr:colOff>1866900</xdr:colOff>
                <xdr:row>14</xdr:row>
                <xdr:rowOff>0</xdr:rowOff>
              </to>
            </anchor>
          </controlPr>
        </control>
      </mc:Choice>
      <mc:Fallback>
        <control shapeId="1025" r:id="rId14" name="CheckBox_MercuryCA1"/>
      </mc:Fallback>
    </mc:AlternateContent>
    <mc:AlternateContent xmlns:mc="http://schemas.openxmlformats.org/markup-compatibility/2006">
      <mc:Choice Requires="x14">
        <control shapeId="1026" r:id="rId16" name="CheckBox_MercuryKX1">
          <controlPr autoLine="0" r:id="rId17">
            <anchor moveWithCells="1">
              <from>
                <xdr:col>1</xdr:col>
                <xdr:colOff>571500</xdr:colOff>
                <xdr:row>12</xdr:row>
                <xdr:rowOff>47625</xdr:rowOff>
              </from>
              <to>
                <xdr:col>1</xdr:col>
                <xdr:colOff>1943100</xdr:colOff>
                <xdr:row>13</xdr:row>
                <xdr:rowOff>133350</xdr:rowOff>
              </to>
            </anchor>
          </controlPr>
        </control>
      </mc:Choice>
      <mc:Fallback>
        <control shapeId="1026" r:id="rId16" name="CheckBox_MercuryKX1"/>
      </mc:Fallback>
    </mc:AlternateContent>
    <mc:AlternateContent xmlns:mc="http://schemas.openxmlformats.org/markup-compatibility/2006">
      <mc:Choice Requires="x14">
        <control shapeId="1027" r:id="rId18" name="CheckBox_MercurySA1">
          <controlPr autoLine="0" r:id="rId19">
            <anchor moveWithCells="1">
              <from>
                <xdr:col>3</xdr:col>
                <xdr:colOff>495300</xdr:colOff>
                <xdr:row>14</xdr:row>
                <xdr:rowOff>19050</xdr:rowOff>
              </from>
              <to>
                <xdr:col>3</xdr:col>
                <xdr:colOff>1866900</xdr:colOff>
                <xdr:row>15</xdr:row>
                <xdr:rowOff>104775</xdr:rowOff>
              </to>
            </anchor>
          </controlPr>
        </control>
      </mc:Choice>
      <mc:Fallback>
        <control shapeId="1027" r:id="rId18" name="CheckBox_MercurySA1"/>
      </mc:Fallback>
    </mc:AlternateContent>
    <mc:AlternateContent xmlns:mc="http://schemas.openxmlformats.org/markup-compatibility/2006">
      <mc:Choice Requires="x14">
        <control shapeId="1028" r:id="rId20" name="CheckBox_MercuryZX1">
          <controlPr autoLine="0" r:id="rId21">
            <anchor moveWithCells="1">
              <from>
                <xdr:col>1</xdr:col>
                <xdr:colOff>571500</xdr:colOff>
                <xdr:row>15</xdr:row>
                <xdr:rowOff>114300</xdr:rowOff>
              </from>
              <to>
                <xdr:col>1</xdr:col>
                <xdr:colOff>1943100</xdr:colOff>
                <xdr:row>17</xdr:row>
                <xdr:rowOff>38100</xdr:rowOff>
              </to>
            </anchor>
          </controlPr>
        </control>
      </mc:Choice>
      <mc:Fallback>
        <control shapeId="1028" r:id="rId20" name="CheckBox_MercuryZX1"/>
      </mc:Fallback>
    </mc:AlternateContent>
    <mc:AlternateContent xmlns:mc="http://schemas.openxmlformats.org/markup-compatibility/2006">
      <mc:Choice Requires="x14">
        <control shapeId="1029" r:id="rId22" name="CheckBox_MercuryStarter">
          <controlPr autoLine="0" r:id="rId23">
            <anchor moveWithCells="1">
              <from>
                <xdr:col>5</xdr:col>
                <xdr:colOff>542925</xdr:colOff>
                <xdr:row>12</xdr:row>
                <xdr:rowOff>47625</xdr:rowOff>
              </from>
              <to>
                <xdr:col>5</xdr:col>
                <xdr:colOff>1914525</xdr:colOff>
                <xdr:row>13</xdr:row>
                <xdr:rowOff>133350</xdr:rowOff>
              </to>
            </anchor>
          </controlPr>
        </control>
      </mc:Choice>
      <mc:Fallback>
        <control shapeId="1029" r:id="rId22" name="CheckBox_MercuryStarter"/>
      </mc:Fallback>
    </mc:AlternateContent>
    <mc:AlternateContent xmlns:mc="http://schemas.openxmlformats.org/markup-compatibility/2006">
      <mc:Choice Requires="x14">
        <control shapeId="1031" r:id="rId24" name="Button_SelectAllXilinxModules">
          <controlPr defaultSize="0" autoLine="0" r:id="rId25">
            <anchor moveWithCells="1">
              <from>
                <xdr:col>1</xdr:col>
                <xdr:colOff>1504950</xdr:colOff>
                <xdr:row>28</xdr:row>
                <xdr:rowOff>85725</xdr:rowOff>
              </from>
              <to>
                <xdr:col>1</xdr:col>
                <xdr:colOff>2266950</xdr:colOff>
                <xdr:row>30</xdr:row>
                <xdr:rowOff>57150</xdr:rowOff>
              </to>
            </anchor>
          </controlPr>
        </control>
      </mc:Choice>
      <mc:Fallback>
        <control shapeId="1031" r:id="rId24" name="Button_SelectAllXilinxModules"/>
      </mc:Fallback>
    </mc:AlternateContent>
    <mc:AlternateContent xmlns:mc="http://schemas.openxmlformats.org/markup-compatibility/2006">
      <mc:Choice Requires="x14">
        <control shapeId="1032" r:id="rId26" name="CommandButton_SelectAllBoards">
          <controlPr defaultSize="0" autoLine="0" r:id="rId27">
            <anchor moveWithCells="1">
              <from>
                <xdr:col>5</xdr:col>
                <xdr:colOff>1495425</xdr:colOff>
                <xdr:row>28</xdr:row>
                <xdr:rowOff>76200</xdr:rowOff>
              </from>
              <to>
                <xdr:col>5</xdr:col>
                <xdr:colOff>2257425</xdr:colOff>
                <xdr:row>30</xdr:row>
                <xdr:rowOff>47625</xdr:rowOff>
              </to>
            </anchor>
          </controlPr>
        </control>
      </mc:Choice>
      <mc:Fallback>
        <control shapeId="1032" r:id="rId26" name="CommandButton_SelectAllBoards"/>
      </mc:Fallback>
    </mc:AlternateContent>
    <mc:AlternateContent xmlns:mc="http://schemas.openxmlformats.org/markup-compatibility/2006">
      <mc:Choice Requires="x14">
        <control shapeId="1033" r:id="rId28" name="CommandButton_ViewConnectorA">
          <controlPr defaultSize="0" autoLine="0" autoPict="0" r:id="rId29">
            <anchor moveWithCells="1">
              <from>
                <xdr:col>1</xdr:col>
                <xdr:colOff>0</xdr:colOff>
                <xdr:row>34</xdr:row>
                <xdr:rowOff>57150</xdr:rowOff>
              </from>
              <to>
                <xdr:col>6</xdr:col>
                <xdr:colOff>0</xdr:colOff>
                <xdr:row>36</xdr:row>
                <xdr:rowOff>47625</xdr:rowOff>
              </to>
            </anchor>
          </controlPr>
        </control>
      </mc:Choice>
      <mc:Fallback>
        <control shapeId="1033" r:id="rId28" name="CommandButton_ViewConnectorA"/>
      </mc:Fallback>
    </mc:AlternateContent>
    <mc:AlternateContent xmlns:mc="http://schemas.openxmlformats.org/markup-compatibility/2006">
      <mc:Choice Requires="x14">
        <control shapeId="1034" r:id="rId30" name="CheckBox_MercuryPE1">
          <controlPr autoLine="0" r:id="rId31">
            <anchor moveWithCells="1">
              <from>
                <xdr:col>5</xdr:col>
                <xdr:colOff>542925</xdr:colOff>
                <xdr:row>13</xdr:row>
                <xdr:rowOff>142875</xdr:rowOff>
              </from>
              <to>
                <xdr:col>5</xdr:col>
                <xdr:colOff>1914525</xdr:colOff>
                <xdr:row>15</xdr:row>
                <xdr:rowOff>66675</xdr:rowOff>
              </to>
            </anchor>
          </controlPr>
        </control>
      </mc:Choice>
      <mc:Fallback>
        <control shapeId="1034" r:id="rId30" name="CheckBox_MercuryPE1"/>
      </mc:Fallback>
    </mc:AlternateContent>
    <mc:AlternateContent xmlns:mc="http://schemas.openxmlformats.org/markup-compatibility/2006">
      <mc:Choice Requires="x14">
        <control shapeId="1036" r:id="rId32" name="CheckBox_MercuryZX5">
          <controlPr autoLine="0" r:id="rId33">
            <anchor moveWithCells="1">
              <from>
                <xdr:col>1</xdr:col>
                <xdr:colOff>571500</xdr:colOff>
                <xdr:row>17</xdr:row>
                <xdr:rowOff>95250</xdr:rowOff>
              </from>
              <to>
                <xdr:col>1</xdr:col>
                <xdr:colOff>1943100</xdr:colOff>
                <xdr:row>19</xdr:row>
                <xdr:rowOff>9525</xdr:rowOff>
              </to>
            </anchor>
          </controlPr>
        </control>
      </mc:Choice>
      <mc:Fallback>
        <control shapeId="1036" r:id="rId32" name="CheckBox_MercuryZX5"/>
      </mc:Fallback>
    </mc:AlternateContent>
    <mc:AlternateContent xmlns:mc="http://schemas.openxmlformats.org/markup-compatibility/2006">
      <mc:Choice Requires="x14">
        <control shapeId="1037" r:id="rId34" name="CommandButton_ViewConnectorC">
          <controlPr defaultSize="0" autoLine="0" r:id="rId35">
            <anchor moveWithCells="1">
              <from>
                <xdr:col>1</xdr:col>
                <xdr:colOff>0</xdr:colOff>
                <xdr:row>40</xdr:row>
                <xdr:rowOff>9525</xdr:rowOff>
              </from>
              <to>
                <xdr:col>5</xdr:col>
                <xdr:colOff>2371725</xdr:colOff>
                <xdr:row>42</xdr:row>
                <xdr:rowOff>0</xdr:rowOff>
              </to>
            </anchor>
          </controlPr>
        </control>
      </mc:Choice>
      <mc:Fallback>
        <control shapeId="1037" r:id="rId34" name="CommandButton_ViewConnectorC"/>
      </mc:Fallback>
    </mc:AlternateContent>
    <mc:AlternateContent xmlns:mc="http://schemas.openxmlformats.org/markup-compatibility/2006">
      <mc:Choice Requires="x14">
        <control shapeId="1038" r:id="rId36" name="CheckBox_MercuryEV2">
          <controlPr autoLine="0" r:id="rId37">
            <anchor moveWithCells="1">
              <from>
                <xdr:col>5</xdr:col>
                <xdr:colOff>542925</xdr:colOff>
                <xdr:row>15</xdr:row>
                <xdr:rowOff>66675</xdr:rowOff>
              </from>
              <to>
                <xdr:col>5</xdr:col>
                <xdr:colOff>1914525</xdr:colOff>
                <xdr:row>16</xdr:row>
                <xdr:rowOff>152400</xdr:rowOff>
              </to>
            </anchor>
          </controlPr>
        </control>
      </mc:Choice>
      <mc:Fallback>
        <control shapeId="1038" r:id="rId36" name="CheckBox_MercuryEV2"/>
      </mc:Fallback>
    </mc:AlternateContent>
    <mc:AlternateContent xmlns:mc="http://schemas.openxmlformats.org/markup-compatibility/2006">
      <mc:Choice Requires="x14">
        <control shapeId="1039" r:id="rId38" name="CheckBox_MercuryAA1">
          <controlPr autoLine="0" r:id="rId39">
            <anchor moveWithCells="1">
              <from>
                <xdr:col>3</xdr:col>
                <xdr:colOff>495300</xdr:colOff>
                <xdr:row>17</xdr:row>
                <xdr:rowOff>66675</xdr:rowOff>
              </from>
              <to>
                <xdr:col>3</xdr:col>
                <xdr:colOff>1866900</xdr:colOff>
                <xdr:row>18</xdr:row>
                <xdr:rowOff>152400</xdr:rowOff>
              </to>
            </anchor>
          </controlPr>
        </control>
      </mc:Choice>
      <mc:Fallback>
        <control shapeId="1039" r:id="rId38" name="CheckBox_MercuryAA1"/>
      </mc:Fallback>
    </mc:AlternateContent>
    <mc:AlternateContent xmlns:mc="http://schemas.openxmlformats.org/markup-compatibility/2006">
      <mc:Choice Requires="x14">
        <control shapeId="1040" r:id="rId40" name="CheckBox_MercuryXU1">
          <controlPr autoLine="0" r:id="rId41">
            <anchor moveWithCells="1">
              <from>
                <xdr:col>1</xdr:col>
                <xdr:colOff>571500</xdr:colOff>
                <xdr:row>19</xdr:row>
                <xdr:rowOff>47625</xdr:rowOff>
              </from>
              <to>
                <xdr:col>1</xdr:col>
                <xdr:colOff>1943100</xdr:colOff>
                <xdr:row>20</xdr:row>
                <xdr:rowOff>133350</xdr:rowOff>
              </to>
            </anchor>
          </controlPr>
        </control>
      </mc:Choice>
      <mc:Fallback>
        <control shapeId="1040" r:id="rId40" name="CheckBox_MercuryXU1"/>
      </mc:Fallback>
    </mc:AlternateContent>
    <mc:AlternateContent xmlns:mc="http://schemas.openxmlformats.org/markup-compatibility/2006">
      <mc:Choice Requires="x14">
        <control shapeId="1041" r:id="rId42" name="CheckBox_MercuryXU5">
          <controlPr autoLine="0" r:id="rId43">
            <anchor moveWithCells="1">
              <from>
                <xdr:col>1</xdr:col>
                <xdr:colOff>571500</xdr:colOff>
                <xdr:row>21</xdr:row>
                <xdr:rowOff>9525</xdr:rowOff>
              </from>
              <to>
                <xdr:col>1</xdr:col>
                <xdr:colOff>1943100</xdr:colOff>
                <xdr:row>22</xdr:row>
                <xdr:rowOff>95250</xdr:rowOff>
              </to>
            </anchor>
          </controlPr>
        </control>
      </mc:Choice>
      <mc:Fallback>
        <control shapeId="1041" r:id="rId42" name="CheckBox_MercuryXU5"/>
      </mc:Fallback>
    </mc:AlternateContent>
    <mc:AlternateContent xmlns:mc="http://schemas.openxmlformats.org/markup-compatibility/2006">
      <mc:Choice Requires="x14">
        <control shapeId="1042" r:id="rId44" name="CheckBox_MercuryXU7">
          <controlPr autoLine="0" r:id="rId45">
            <anchor moveWithCells="1">
              <from>
                <xdr:col>1</xdr:col>
                <xdr:colOff>571500</xdr:colOff>
                <xdr:row>22</xdr:row>
                <xdr:rowOff>152400</xdr:rowOff>
              </from>
              <to>
                <xdr:col>1</xdr:col>
                <xdr:colOff>1943100</xdr:colOff>
                <xdr:row>24</xdr:row>
                <xdr:rowOff>66675</xdr:rowOff>
              </to>
            </anchor>
          </controlPr>
        </control>
      </mc:Choice>
      <mc:Fallback>
        <control shapeId="1042" r:id="rId44" name="CheckBox_MercuryXU7"/>
      </mc:Fallback>
    </mc:AlternateContent>
    <mc:AlternateContent xmlns:mc="http://schemas.openxmlformats.org/markup-compatibility/2006">
      <mc:Choice Requires="x14">
        <control shapeId="1046" r:id="rId46" name="Button_SelectNoAlteraModules">
          <controlPr defaultSize="0" autoLine="0" r:id="rId47">
            <anchor moveWithCells="1">
              <from>
                <xdr:col>3</xdr:col>
                <xdr:colOff>133350</xdr:colOff>
                <xdr:row>28</xdr:row>
                <xdr:rowOff>76200</xdr:rowOff>
              </from>
              <to>
                <xdr:col>3</xdr:col>
                <xdr:colOff>895350</xdr:colOff>
                <xdr:row>30</xdr:row>
                <xdr:rowOff>47625</xdr:rowOff>
              </to>
            </anchor>
          </controlPr>
        </control>
      </mc:Choice>
      <mc:Fallback>
        <control shapeId="1046" r:id="rId46" name="Button_SelectNoAlteraModules"/>
      </mc:Fallback>
    </mc:AlternateContent>
    <mc:AlternateContent xmlns:mc="http://schemas.openxmlformats.org/markup-compatibility/2006">
      <mc:Choice Requires="x14">
        <control shapeId="1047" r:id="rId48" name="Button_SelectAllAlteraModules">
          <controlPr defaultSize="0" autoLine="0" r:id="rId49">
            <anchor moveWithCells="1">
              <from>
                <xdr:col>3</xdr:col>
                <xdr:colOff>1495425</xdr:colOff>
                <xdr:row>28</xdr:row>
                <xdr:rowOff>76200</xdr:rowOff>
              </from>
              <to>
                <xdr:col>3</xdr:col>
                <xdr:colOff>2257425</xdr:colOff>
                <xdr:row>30</xdr:row>
                <xdr:rowOff>47625</xdr:rowOff>
              </to>
            </anchor>
          </controlPr>
        </control>
      </mc:Choice>
      <mc:Fallback>
        <control shapeId="1047" r:id="rId48" name="Button_SelectAllAlteraModules"/>
      </mc:Fallback>
    </mc:AlternateContent>
    <mc:AlternateContent xmlns:mc="http://schemas.openxmlformats.org/markup-compatibility/2006">
      <mc:Choice Requires="x14">
        <control shapeId="1049" r:id="rId50" name="CheckBox_MercuryKX2">
          <controlPr autoLine="0" r:id="rId51">
            <anchor moveWithCells="1">
              <from>
                <xdr:col>1</xdr:col>
                <xdr:colOff>571500</xdr:colOff>
                <xdr:row>14</xdr:row>
                <xdr:rowOff>0</xdr:rowOff>
              </from>
              <to>
                <xdr:col>1</xdr:col>
                <xdr:colOff>1943100</xdr:colOff>
                <xdr:row>15</xdr:row>
                <xdr:rowOff>85725</xdr:rowOff>
              </to>
            </anchor>
          </controlPr>
        </control>
      </mc:Choice>
      <mc:Fallback>
        <control shapeId="1049" r:id="rId50" name="CheckBox_MercuryK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onnectorASheet">
    <pageSetUpPr fitToPage="1"/>
  </sheetPr>
  <dimension ref="A1:BV150"/>
  <sheetViews>
    <sheetView showRowColHeaders="0" zoomScale="85" zoomScaleNormal="85" workbookViewId="0">
      <pane xSplit="1" ySplit="9" topLeftCell="B10" activePane="bottomRight" state="frozen"/>
      <selection pane="topRight" activeCell="B1" sqref="B1"/>
      <selection pane="bottomLeft" activeCell="A7" sqref="A7"/>
      <selection pane="bottomRight" activeCell="B10" sqref="B10"/>
    </sheetView>
  </sheetViews>
  <sheetFormatPr defaultColWidth="9.140625" defaultRowHeight="12"/>
  <cols>
    <col min="1" max="1" width="27.85546875" style="42" customWidth="1"/>
    <col min="2" max="2" width="28.140625" style="91" customWidth="1"/>
    <col min="3" max="3" width="18.5703125" style="35" customWidth="1"/>
    <col min="4" max="4" width="28.42578125" style="91" customWidth="1"/>
    <col min="5" max="5" width="28.5703125" style="91" customWidth="1"/>
    <col min="6" max="6" width="26.7109375" style="91" customWidth="1"/>
    <col min="7" max="7" width="27.7109375" style="91" customWidth="1"/>
    <col min="8" max="8" width="31.5703125" style="91" customWidth="1"/>
    <col min="9" max="10" width="30.7109375" style="91" customWidth="1"/>
    <col min="11" max="11" width="28.5703125" style="91" customWidth="1"/>
    <col min="12" max="12" width="30.7109375" style="91" customWidth="1"/>
    <col min="13" max="13" width="27.7109375" style="91" customWidth="1"/>
    <col min="14" max="14" width="17.28515625" style="91" customWidth="1"/>
    <col min="15" max="15" width="18.42578125" style="91" customWidth="1"/>
    <col min="16" max="16" width="17.140625" style="91" customWidth="1"/>
    <col min="17" max="17" width="12.42578125" style="91" hidden="1" customWidth="1"/>
    <col min="18" max="18" width="11.140625" style="207" hidden="1" customWidth="1"/>
    <col min="19" max="19" width="17.85546875" style="211" customWidth="1"/>
    <col min="20" max="20" width="8.7109375" style="53" customWidth="1"/>
    <col min="21" max="21" width="7" style="53" customWidth="1"/>
    <col min="22" max="22" width="17.85546875" style="104" customWidth="1"/>
    <col min="23" max="23" width="28" style="91" customWidth="1"/>
    <col min="24" max="24" width="18.85546875" style="91" customWidth="1"/>
    <col min="25" max="26" width="28.5703125" style="91" customWidth="1"/>
    <col min="27" max="27" width="28.42578125" style="91" customWidth="1"/>
    <col min="28" max="28" width="28.7109375" style="91" customWidth="1"/>
    <col min="29" max="29" width="31.7109375" style="91" customWidth="1"/>
    <col min="30" max="30" width="40.7109375" style="91" customWidth="1"/>
    <col min="31" max="31" width="30.7109375" style="91" customWidth="1"/>
    <col min="32" max="32" width="28.5703125" style="91" customWidth="1"/>
    <col min="33" max="33" width="30.7109375" style="91" customWidth="1"/>
    <col min="34" max="34" width="28" style="91" customWidth="1"/>
    <col min="35" max="35" width="17.28515625" style="91" customWidth="1"/>
    <col min="36" max="36" width="19.28515625" style="91" customWidth="1"/>
    <col min="37" max="37" width="17.5703125" style="91" customWidth="1"/>
    <col min="38" max="38" width="22.85546875" style="91" customWidth="1"/>
    <col min="39" max="39" width="24.5703125" style="91" hidden="1" customWidth="1"/>
    <col min="40" max="40" width="25.42578125" style="42" customWidth="1"/>
    <col min="41" max="41" width="25.7109375" style="42" customWidth="1"/>
    <col min="42" max="44" width="9.140625" style="42" customWidth="1"/>
    <col min="45" max="16384" width="9.140625" style="42"/>
  </cols>
  <sheetData>
    <row r="1" spans="1:74" ht="24.95" customHeight="1">
      <c r="A1" s="228" t="s">
        <v>246</v>
      </c>
      <c r="B1" s="18" t="s">
        <v>1339</v>
      </c>
      <c r="C1" s="220" t="s">
        <v>247</v>
      </c>
      <c r="D1" s="18" t="s">
        <v>248</v>
      </c>
      <c r="E1" s="18" t="s">
        <v>2183</v>
      </c>
      <c r="F1" s="18" t="s">
        <v>249</v>
      </c>
      <c r="G1" s="18" t="s">
        <v>1338</v>
      </c>
      <c r="H1" s="18" t="s">
        <v>2286</v>
      </c>
      <c r="I1" s="18" t="s">
        <v>2287</v>
      </c>
      <c r="J1" s="18" t="s">
        <v>2288</v>
      </c>
      <c r="K1" s="18" t="s">
        <v>250</v>
      </c>
      <c r="L1" s="18" t="s">
        <v>2842</v>
      </c>
      <c r="M1" s="18" t="s">
        <v>521</v>
      </c>
      <c r="N1" s="18" t="s">
        <v>251</v>
      </c>
      <c r="O1" s="18" t="s">
        <v>2614</v>
      </c>
      <c r="P1" s="18" t="s">
        <v>2177</v>
      </c>
      <c r="Q1" s="18" t="s">
        <v>1324</v>
      </c>
      <c r="R1" s="201" t="s">
        <v>1727</v>
      </c>
      <c r="S1" s="218" t="s">
        <v>13</v>
      </c>
      <c r="T1" s="231" t="s">
        <v>258</v>
      </c>
      <c r="U1" s="232"/>
      <c r="V1" s="100" t="str">
        <f t="shared" ref="V1:V8" si="0">IF(S1&lt;&gt;"",S1,"")</f>
        <v>Product Name</v>
      </c>
      <c r="W1" s="18" t="str">
        <f t="shared" ref="W1:W8" si="1">IF(B1&lt;&gt;"",B1,"")</f>
        <v>Mercury+ AA1</v>
      </c>
      <c r="X1" s="18" t="str">
        <f t="shared" ref="X1:Z8" si="2">IF(C1&lt;&gt;"",C1,"")</f>
        <v>Mercury CA1</v>
      </c>
      <c r="Y1" s="18" t="str">
        <f t="shared" si="2"/>
        <v>Mercury KX1</v>
      </c>
      <c r="Z1" s="18" t="str">
        <f t="shared" si="2"/>
        <v>Mercury+ KX2</v>
      </c>
      <c r="AA1" s="18" t="str">
        <f t="shared" ref="AA1:AD8" si="3">IF(F1&lt;&gt;"",F1,"")</f>
        <v>Mercury SA1</v>
      </c>
      <c r="AB1" s="18" t="str">
        <f t="shared" si="3"/>
        <v>Mercury+ SA2</v>
      </c>
      <c r="AC1" s="18" t="str">
        <f t="shared" si="3"/>
        <v>Mercury+ XU1</v>
      </c>
      <c r="AD1" s="18" t="str">
        <f t="shared" si="3"/>
        <v>Mercury XU5</v>
      </c>
      <c r="AE1" s="18" t="str">
        <f t="shared" ref="AE1:AJ4" si="4">IF(J1&lt;&gt;"",J1,"")</f>
        <v>Mercury+ XU7</v>
      </c>
      <c r="AF1" s="18" t="str">
        <f t="shared" si="4"/>
        <v>Mercury ZX1</v>
      </c>
      <c r="AG1" s="18" t="str">
        <f t="shared" si="4"/>
        <v>Mercury+ XU8</v>
      </c>
      <c r="AH1" s="18" t="str">
        <f t="shared" si="4"/>
        <v>Mercury ZX5</v>
      </c>
      <c r="AI1" s="18" t="str">
        <f t="shared" si="4"/>
        <v>Mercury Starter</v>
      </c>
      <c r="AJ1" s="18" t="str">
        <f t="shared" si="4"/>
        <v xml:space="preserve">Mercury+ PE1 </v>
      </c>
      <c r="AK1" s="18" t="str">
        <f t="shared" ref="AK1:AK8" si="5">IF(P1&lt;&gt;"",P1,"")</f>
        <v>Mercury+ EV2</v>
      </c>
      <c r="AL1" s="124"/>
      <c r="AM1" s="121" t="str">
        <f t="shared" ref="AM1:AM6" si="6">IF(R1&lt;&gt;"",R1,"")</f>
        <v>Mercury+ EV3</v>
      </c>
      <c r="AN1" s="24"/>
      <c r="AO1" s="40"/>
      <c r="AP1" s="41"/>
      <c r="AQ1" s="41"/>
      <c r="AR1" s="41"/>
      <c r="AS1" s="41"/>
      <c r="AT1" s="41"/>
      <c r="AU1" s="41"/>
      <c r="AV1" s="41"/>
      <c r="AW1" s="41"/>
      <c r="AX1" s="41"/>
      <c r="AY1" s="40"/>
      <c r="AZ1" s="41"/>
      <c r="BA1" s="41"/>
      <c r="BB1" s="41"/>
      <c r="BC1" s="41"/>
      <c r="BD1" s="41"/>
      <c r="BE1" s="41"/>
      <c r="BF1" s="41"/>
      <c r="BG1" s="41"/>
      <c r="BH1" s="41"/>
      <c r="BI1" s="41"/>
      <c r="BJ1" s="41"/>
      <c r="BK1" s="41"/>
      <c r="BL1" s="41"/>
      <c r="BM1" s="41"/>
      <c r="BN1" s="41"/>
      <c r="BO1" s="41"/>
      <c r="BP1" s="41"/>
      <c r="BQ1" s="41"/>
      <c r="BR1" s="41"/>
      <c r="BS1" s="41"/>
      <c r="BT1" s="41"/>
      <c r="BU1" s="41"/>
      <c r="BV1" s="41"/>
    </row>
    <row r="2" spans="1:74" s="44" customFormat="1" ht="14.1" customHeight="1">
      <c r="A2" s="228"/>
      <c r="B2" s="72" t="s">
        <v>240</v>
      </c>
      <c r="C2" s="221" t="s">
        <v>240</v>
      </c>
      <c r="D2" s="72" t="s">
        <v>241</v>
      </c>
      <c r="E2" s="72" t="s">
        <v>241</v>
      </c>
      <c r="F2" s="72" t="s">
        <v>240</v>
      </c>
      <c r="G2" s="72" t="s">
        <v>240</v>
      </c>
      <c r="H2" s="72" t="s">
        <v>241</v>
      </c>
      <c r="I2" s="72" t="s">
        <v>241</v>
      </c>
      <c r="J2" s="72" t="s">
        <v>241</v>
      </c>
      <c r="K2" s="72" t="s">
        <v>241</v>
      </c>
      <c r="L2" s="72" t="s">
        <v>241</v>
      </c>
      <c r="M2" s="72" t="s">
        <v>241</v>
      </c>
      <c r="N2" s="72"/>
      <c r="O2" s="72" t="s">
        <v>2615</v>
      </c>
      <c r="P2" s="72"/>
      <c r="Q2" s="72"/>
      <c r="R2" s="202"/>
      <c r="S2" s="22" t="s">
        <v>2041</v>
      </c>
      <c r="T2" s="231"/>
      <c r="U2" s="231"/>
      <c r="V2" s="101" t="str">
        <f t="shared" si="0"/>
        <v>FPGA vendor</v>
      </c>
      <c r="W2" s="72" t="str">
        <f t="shared" si="1"/>
        <v>Altera</v>
      </c>
      <c r="X2" s="72" t="str">
        <f t="shared" si="2"/>
        <v>Altera</v>
      </c>
      <c r="Y2" s="72" t="str">
        <f t="shared" si="2"/>
        <v>Xilinx</v>
      </c>
      <c r="Z2" s="72" t="str">
        <f t="shared" si="2"/>
        <v>Xilinx</v>
      </c>
      <c r="AA2" s="72" t="str">
        <f t="shared" si="3"/>
        <v>Altera</v>
      </c>
      <c r="AB2" s="72" t="str">
        <f t="shared" si="3"/>
        <v>Altera</v>
      </c>
      <c r="AC2" s="72" t="str">
        <f t="shared" si="3"/>
        <v>Xilinx</v>
      </c>
      <c r="AD2" s="72" t="str">
        <f t="shared" si="3"/>
        <v>Xilinx</v>
      </c>
      <c r="AE2" s="72" t="str">
        <f t="shared" si="4"/>
        <v>Xilinx</v>
      </c>
      <c r="AF2" s="72" t="str">
        <f t="shared" si="4"/>
        <v>Xilinx</v>
      </c>
      <c r="AG2" s="72" t="str">
        <f t="shared" si="4"/>
        <v>Xilinx</v>
      </c>
      <c r="AH2" s="72" t="str">
        <f t="shared" si="4"/>
        <v>Xilinx</v>
      </c>
      <c r="AI2" s="72" t="str">
        <f t="shared" si="4"/>
        <v/>
      </c>
      <c r="AJ2" s="72" t="str">
        <f t="shared" si="4"/>
        <v>200/300/400</v>
      </c>
      <c r="AK2" s="72" t="str">
        <f t="shared" si="5"/>
        <v/>
      </c>
      <c r="AL2" s="122"/>
      <c r="AM2" s="122" t="str">
        <f t="shared" si="6"/>
        <v/>
      </c>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row>
    <row r="3" spans="1:74" s="44" customFormat="1" ht="14.1" customHeight="1">
      <c r="A3" s="21" t="s">
        <v>3166</v>
      </c>
      <c r="B3" s="72" t="s">
        <v>1328</v>
      </c>
      <c r="C3" s="221" t="s">
        <v>255</v>
      </c>
      <c r="D3" s="72" t="s">
        <v>256</v>
      </c>
      <c r="E3" s="72" t="s">
        <v>256</v>
      </c>
      <c r="F3" s="72" t="s">
        <v>257</v>
      </c>
      <c r="G3" s="72" t="s">
        <v>257</v>
      </c>
      <c r="H3" s="72" t="s">
        <v>1340</v>
      </c>
      <c r="I3" s="72" t="s">
        <v>1340</v>
      </c>
      <c r="J3" s="72" t="s">
        <v>1340</v>
      </c>
      <c r="K3" s="72" t="s">
        <v>1345</v>
      </c>
      <c r="L3" s="72" t="s">
        <v>1340</v>
      </c>
      <c r="M3" s="72" t="s">
        <v>1345</v>
      </c>
      <c r="N3" s="72"/>
      <c r="O3" s="72"/>
      <c r="P3" s="72"/>
      <c r="Q3" s="72"/>
      <c r="R3" s="202"/>
      <c r="S3" s="22" t="s">
        <v>2042</v>
      </c>
      <c r="T3" s="231"/>
      <c r="U3" s="231"/>
      <c r="V3" s="101" t="str">
        <f t="shared" si="0"/>
        <v>FPGA family</v>
      </c>
      <c r="W3" s="72" t="str">
        <f t="shared" si="1"/>
        <v>Arria 10 SoC</v>
      </c>
      <c r="X3" s="72" t="str">
        <f t="shared" si="2"/>
        <v>Cyclone IV</v>
      </c>
      <c r="Y3" s="72" t="str">
        <f t="shared" si="2"/>
        <v>Kintex-7</v>
      </c>
      <c r="Z3" s="72" t="str">
        <f t="shared" si="2"/>
        <v>Kintex-7</v>
      </c>
      <c r="AA3" s="72" t="str">
        <f t="shared" si="3"/>
        <v>Cyclone V SoC</v>
      </c>
      <c r="AB3" s="72" t="str">
        <f t="shared" si="3"/>
        <v>Cyclone V SoC</v>
      </c>
      <c r="AC3" s="72" t="str">
        <f t="shared" si="3"/>
        <v>Zynq Ultrascale+</v>
      </c>
      <c r="AD3" s="72" t="str">
        <f t="shared" si="3"/>
        <v>Zynq Ultrascale+</v>
      </c>
      <c r="AE3" s="72" t="str">
        <f t="shared" si="4"/>
        <v>Zynq Ultrascale+</v>
      </c>
      <c r="AF3" s="72" t="str">
        <f t="shared" si="4"/>
        <v>Zynq-7000</v>
      </c>
      <c r="AG3" s="72" t="str">
        <f t="shared" si="4"/>
        <v>Zynq Ultrascale+</v>
      </c>
      <c r="AH3" s="72" t="str">
        <f t="shared" si="4"/>
        <v>Zynq-7000</v>
      </c>
      <c r="AI3" s="72" t="str">
        <f t="shared" si="4"/>
        <v/>
      </c>
      <c r="AJ3" s="72" t="str">
        <f t="shared" si="4"/>
        <v/>
      </c>
      <c r="AK3" s="72" t="str">
        <f t="shared" si="5"/>
        <v/>
      </c>
      <c r="AL3" s="122"/>
      <c r="AM3" s="122" t="str">
        <f t="shared" si="6"/>
        <v/>
      </c>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row>
    <row r="4" spans="1:74" s="44" customFormat="1" ht="14.1" customHeight="1">
      <c r="A4" s="21"/>
      <c r="B4" s="72" t="s">
        <v>2065</v>
      </c>
      <c r="C4" s="221" t="s">
        <v>1348</v>
      </c>
      <c r="D4" s="72" t="s">
        <v>1347</v>
      </c>
      <c r="E4" s="72" t="s">
        <v>1347</v>
      </c>
      <c r="F4" s="72" t="s">
        <v>1349</v>
      </c>
      <c r="G4" s="72" t="s">
        <v>1350</v>
      </c>
      <c r="H4" s="72" t="s">
        <v>2577</v>
      </c>
      <c r="I4" s="72" t="s">
        <v>2840</v>
      </c>
      <c r="J4" s="72" t="s">
        <v>2577</v>
      </c>
      <c r="K4" s="72" t="s">
        <v>1346</v>
      </c>
      <c r="L4" s="72" t="s">
        <v>2844</v>
      </c>
      <c r="M4" s="72" t="s">
        <v>1351</v>
      </c>
      <c r="N4" s="72"/>
      <c r="O4" s="72"/>
      <c r="P4" s="72"/>
      <c r="Q4" s="72"/>
      <c r="R4" s="202"/>
      <c r="S4" s="22" t="s">
        <v>2043</v>
      </c>
      <c r="T4" s="231"/>
      <c r="U4" s="231"/>
      <c r="V4" s="101" t="str">
        <f t="shared" ref="V4" si="7">IF(S4&lt;&gt;"",S4,"")</f>
        <v>FPGA device(s)</v>
      </c>
      <c r="W4" s="72" t="str">
        <f t="shared" si="1"/>
        <v>SX 270/480</v>
      </c>
      <c r="X4" s="72" t="str">
        <f t="shared" si="2"/>
        <v>30/75/115</v>
      </c>
      <c r="Y4" s="72" t="str">
        <f t="shared" si="2"/>
        <v>160T/325T/410T</v>
      </c>
      <c r="Z4" s="72" t="str">
        <f t="shared" si="2"/>
        <v>160T/325T/410T</v>
      </c>
      <c r="AA4" s="72" t="str">
        <f t="shared" si="3"/>
        <v>C5/C6</v>
      </c>
      <c r="AB4" s="72" t="str">
        <f t="shared" si="3"/>
        <v>C5/D6</v>
      </c>
      <c r="AC4" s="72" t="str">
        <f t="shared" si="3"/>
        <v>ZU6EG/ZU9EG/ZU15EG</v>
      </c>
      <c r="AD4" s="72" t="str">
        <f t="shared" si="3"/>
        <v>ZU2EG/ZU3EG/ZU4EV/ZU5EV</v>
      </c>
      <c r="AE4" s="72" t="str">
        <f t="shared" si="4"/>
        <v>ZU6EG/ZU9EG/ZU15EG</v>
      </c>
      <c r="AF4" s="72" t="str">
        <f t="shared" si="4"/>
        <v>Z-7030/7035/7045</v>
      </c>
      <c r="AG4" s="72" t="str">
        <f t="shared" si="4"/>
        <v>ZU4CG/ZU5EV/ZU7EV</v>
      </c>
      <c r="AH4" s="72" t="str">
        <f t="shared" si="4"/>
        <v>Z-7015/7030</v>
      </c>
      <c r="AI4" s="72" t="str">
        <f t="shared" si="4"/>
        <v/>
      </c>
      <c r="AJ4" s="72" t="str">
        <f t="shared" si="4"/>
        <v/>
      </c>
      <c r="AK4" s="72" t="str">
        <f t="shared" si="5"/>
        <v/>
      </c>
      <c r="AL4" s="122"/>
      <c r="AM4" s="122" t="str">
        <f t="shared" ref="AM4" si="8">IF(R4&lt;&gt;"",R4,"")</f>
        <v/>
      </c>
      <c r="AN4" s="43"/>
      <c r="AO4" s="43"/>
      <c r="AP4" s="43"/>
      <c r="AQ4" s="43"/>
      <c r="AR4" s="43"/>
      <c r="AS4" s="43"/>
      <c r="AT4" s="43"/>
      <c r="AU4" s="43"/>
      <c r="AV4" s="43"/>
      <c r="AW4" s="43"/>
      <c r="AX4" s="43"/>
      <c r="AY4" s="43"/>
      <c r="AZ4" s="43"/>
      <c r="BA4" s="43"/>
      <c r="BB4" s="43"/>
      <c r="BC4" s="43"/>
      <c r="BD4" s="43"/>
      <c r="BE4" s="43"/>
      <c r="BF4" s="43"/>
      <c r="BG4" s="43"/>
      <c r="BH4" s="43"/>
      <c r="BI4" s="43"/>
      <c r="BJ4" s="43"/>
      <c r="BK4" s="43"/>
      <c r="BL4" s="43"/>
      <c r="BM4" s="43"/>
      <c r="BN4" s="43"/>
      <c r="BO4" s="43"/>
      <c r="BP4" s="43"/>
      <c r="BQ4" s="43"/>
      <c r="BR4" s="43"/>
      <c r="BS4" s="43"/>
      <c r="BT4" s="43"/>
      <c r="BU4" s="43"/>
      <c r="BV4" s="43"/>
    </row>
    <row r="5" spans="1:74" s="44" customFormat="1" ht="14.1" customHeight="1">
      <c r="A5" s="21"/>
      <c r="B5" s="72" t="s">
        <v>1329</v>
      </c>
      <c r="C5" s="221" t="s">
        <v>886</v>
      </c>
      <c r="D5" s="72" t="s">
        <v>887</v>
      </c>
      <c r="E5" s="72" t="s">
        <v>2579</v>
      </c>
      <c r="F5" s="72" t="s">
        <v>888</v>
      </c>
      <c r="G5" s="72" t="s">
        <v>1056</v>
      </c>
      <c r="H5" s="72" t="s">
        <v>1342</v>
      </c>
      <c r="I5" s="72" t="s">
        <v>1341</v>
      </c>
      <c r="J5" s="72" t="s">
        <v>1342</v>
      </c>
      <c r="K5" s="72" t="s">
        <v>887</v>
      </c>
      <c r="L5" s="72" t="s">
        <v>2843</v>
      </c>
      <c r="M5" s="72" t="s">
        <v>889</v>
      </c>
      <c r="N5" s="72" t="s">
        <v>890</v>
      </c>
      <c r="O5" s="72" t="s">
        <v>890</v>
      </c>
      <c r="P5" s="72" t="s">
        <v>890</v>
      </c>
      <c r="Q5" s="72" t="s">
        <v>890</v>
      </c>
      <c r="R5" s="202" t="s">
        <v>890</v>
      </c>
      <c r="S5" s="22" t="s">
        <v>2044</v>
      </c>
      <c r="T5" s="231"/>
      <c r="U5" s="231"/>
      <c r="V5" s="101" t="str">
        <f t="shared" si="0"/>
        <v>FPGA package</v>
      </c>
      <c r="W5" s="72" t="str">
        <f t="shared" si="1"/>
        <v>F780</v>
      </c>
      <c r="X5" s="72" t="str">
        <f t="shared" si="2"/>
        <v>F484</v>
      </c>
      <c r="Y5" s="72" t="str">
        <f t="shared" si="2"/>
        <v>FBG676/FFG676</v>
      </c>
      <c r="Z5" s="72" t="str">
        <f t="shared" si="2"/>
        <v>FFG676</v>
      </c>
      <c r="AA5" s="72" t="str">
        <f t="shared" si="3"/>
        <v>U672</v>
      </c>
      <c r="AB5" s="72" t="str">
        <f t="shared" si="3"/>
        <v>F896</v>
      </c>
      <c r="AC5" s="72" t="str">
        <f t="shared" si="3"/>
        <v>C900</v>
      </c>
      <c r="AD5" s="72" t="str">
        <f t="shared" si="3"/>
        <v>C784</v>
      </c>
      <c r="AE5" s="72" t="str">
        <f t="shared" ref="AE5:AH8" si="9">IF(J5&lt;&gt;"",J5,"")</f>
        <v>C900</v>
      </c>
      <c r="AF5" s="72" t="str">
        <f t="shared" si="9"/>
        <v>FBG676/FFG676</v>
      </c>
      <c r="AG5" s="72" t="str">
        <f t="shared" si="9"/>
        <v>B900</v>
      </c>
      <c r="AH5" s="72" t="str">
        <f t="shared" si="9"/>
        <v>CLG485/SBG485</v>
      </c>
      <c r="AI5" s="72" t="str">
        <f t="shared" ref="AI5" si="10">IF(N5&lt;&gt;"",N5,"")</f>
        <v/>
      </c>
      <c r="AJ5" s="72" t="str">
        <f>IF(O5&lt;&gt;"",O5,"")</f>
        <v/>
      </c>
      <c r="AK5" s="72" t="str">
        <f t="shared" si="5"/>
        <v/>
      </c>
      <c r="AL5" s="122"/>
      <c r="AM5" s="122" t="str">
        <f t="shared" ref="AM5" si="11">IF(R5&lt;&gt;"",R5,"")</f>
        <v/>
      </c>
      <c r="AN5" s="43"/>
      <c r="AO5" s="43"/>
      <c r="AP5" s="43"/>
      <c r="AQ5" s="43"/>
      <c r="AR5" s="43"/>
      <c r="AS5" s="43"/>
      <c r="AT5" s="43"/>
      <c r="AU5" s="43"/>
      <c r="AV5" s="43"/>
      <c r="AW5" s="43"/>
      <c r="AX5" s="43"/>
      <c r="AY5" s="43"/>
      <c r="AZ5" s="43"/>
      <c r="BA5" s="43"/>
      <c r="BB5" s="43"/>
      <c r="BC5" s="43"/>
      <c r="BD5" s="43"/>
      <c r="BE5" s="43"/>
      <c r="BF5" s="43"/>
      <c r="BG5" s="43"/>
      <c r="BH5" s="43"/>
      <c r="BI5" s="43"/>
      <c r="BJ5" s="43"/>
      <c r="BK5" s="43"/>
      <c r="BL5" s="43"/>
      <c r="BM5" s="43"/>
      <c r="BN5" s="43"/>
      <c r="BO5" s="43"/>
      <c r="BP5" s="43"/>
      <c r="BQ5" s="43"/>
      <c r="BR5" s="43"/>
      <c r="BS5" s="43"/>
      <c r="BT5" s="43"/>
      <c r="BU5" s="43"/>
      <c r="BV5" s="43"/>
    </row>
    <row r="6" spans="1:74" ht="14.1" customHeight="1">
      <c r="A6" s="20"/>
      <c r="B6" s="72" t="s">
        <v>885</v>
      </c>
      <c r="C6" s="72" t="s">
        <v>2776</v>
      </c>
      <c r="D6" s="72" t="s">
        <v>252</v>
      </c>
      <c r="E6" s="72" t="s">
        <v>885</v>
      </c>
      <c r="F6" s="72" t="s">
        <v>1326</v>
      </c>
      <c r="G6" s="72" t="s">
        <v>1</v>
      </c>
      <c r="H6" s="72" t="s">
        <v>1326</v>
      </c>
      <c r="I6" s="72" t="s">
        <v>1</v>
      </c>
      <c r="J6" s="72" t="s">
        <v>1</v>
      </c>
      <c r="K6" s="72" t="s">
        <v>1326</v>
      </c>
      <c r="L6" s="72" t="s">
        <v>1</v>
      </c>
      <c r="M6" s="72" t="s">
        <v>1326</v>
      </c>
      <c r="N6" s="72" t="s">
        <v>1</v>
      </c>
      <c r="O6" s="72" t="s">
        <v>2176</v>
      </c>
      <c r="P6" s="72"/>
      <c r="Q6" s="72"/>
      <c r="R6" s="202"/>
      <c r="S6" s="22" t="s">
        <v>2045</v>
      </c>
      <c r="T6" s="231"/>
      <c r="U6" s="231"/>
      <c r="V6" s="101" t="str">
        <f t="shared" si="0"/>
        <v>Board revision</v>
      </c>
      <c r="W6" s="72" t="str">
        <f t="shared" si="1"/>
        <v>R2</v>
      </c>
      <c r="X6" s="72" t="str">
        <f t="shared" si="2"/>
        <v>R6</v>
      </c>
      <c r="Y6" s="72" t="str">
        <f t="shared" si="2"/>
        <v>R5</v>
      </c>
      <c r="Z6" s="72" t="str">
        <f t="shared" si="2"/>
        <v>R2</v>
      </c>
      <c r="AA6" s="72" t="str">
        <f t="shared" si="3"/>
        <v>R3</v>
      </c>
      <c r="AB6" s="72" t="str">
        <f t="shared" si="3"/>
        <v>R1</v>
      </c>
      <c r="AC6" s="72" t="str">
        <f t="shared" si="3"/>
        <v>R3</v>
      </c>
      <c r="AD6" s="72" t="str">
        <f t="shared" si="3"/>
        <v>R1</v>
      </c>
      <c r="AE6" s="72" t="str">
        <f t="shared" si="9"/>
        <v>R1</v>
      </c>
      <c r="AF6" s="72" t="str">
        <f t="shared" si="9"/>
        <v>R3</v>
      </c>
      <c r="AG6" s="72" t="str">
        <f t="shared" si="9"/>
        <v>R1</v>
      </c>
      <c r="AH6" s="72" t="str">
        <f t="shared" si="9"/>
        <v>R3</v>
      </c>
      <c r="AI6" s="72" t="str">
        <f>IF(N6&lt;&gt;"",N6,"")</f>
        <v>R1</v>
      </c>
      <c r="AJ6" s="72" t="str">
        <f>IF(O6&lt;&gt;"",O6,"")</f>
        <v>R4</v>
      </c>
      <c r="AK6" s="72" t="str">
        <f t="shared" si="5"/>
        <v/>
      </c>
      <c r="AL6" s="122"/>
      <c r="AM6" s="122" t="str">
        <f t="shared" si="6"/>
        <v/>
      </c>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row>
    <row r="7" spans="1:74" ht="14.1" customHeight="1">
      <c r="A7" s="20"/>
      <c r="B7" s="72"/>
      <c r="C7" s="72"/>
      <c r="D7" s="72"/>
      <c r="E7" s="72"/>
      <c r="F7" s="72"/>
      <c r="G7" s="72"/>
      <c r="H7" s="72"/>
      <c r="I7" s="72"/>
      <c r="J7" s="72"/>
      <c r="K7" s="72"/>
      <c r="L7" s="72"/>
      <c r="M7" s="72"/>
      <c r="N7" s="72" t="s">
        <v>1327</v>
      </c>
      <c r="O7" s="72"/>
      <c r="P7" s="72" t="s">
        <v>1055</v>
      </c>
      <c r="Q7" s="72" t="s">
        <v>1055</v>
      </c>
      <c r="R7" s="202" t="s">
        <v>1055</v>
      </c>
      <c r="S7" s="22" t="s">
        <v>2046</v>
      </c>
      <c r="T7" s="231"/>
      <c r="U7" s="231"/>
      <c r="V7" s="101" t="str">
        <f t="shared" ref="V7" si="12">IF(S7&lt;&gt;"",S7,"")</f>
        <v>Board status</v>
      </c>
      <c r="W7" s="72" t="str">
        <f t="shared" si="1"/>
        <v/>
      </c>
      <c r="X7" s="72" t="str">
        <f t="shared" si="2"/>
        <v/>
      </c>
      <c r="Y7" s="72" t="str">
        <f t="shared" si="2"/>
        <v/>
      </c>
      <c r="Z7" s="72" t="str">
        <f t="shared" si="2"/>
        <v/>
      </c>
      <c r="AA7" s="72" t="str">
        <f t="shared" si="3"/>
        <v/>
      </c>
      <c r="AB7" s="72" t="str">
        <f t="shared" si="3"/>
        <v/>
      </c>
      <c r="AC7" s="72" t="str">
        <f t="shared" si="3"/>
        <v/>
      </c>
      <c r="AD7" s="72" t="str">
        <f>IF(I7&lt;&gt;"",I7,"")</f>
        <v/>
      </c>
      <c r="AE7" s="72" t="str">
        <f t="shared" si="9"/>
        <v/>
      </c>
      <c r="AF7" s="72" t="str">
        <f t="shared" si="9"/>
        <v/>
      </c>
      <c r="AG7" s="72" t="str">
        <f t="shared" si="9"/>
        <v/>
      </c>
      <c r="AH7" s="72" t="str">
        <f t="shared" si="9"/>
        <v/>
      </c>
      <c r="AI7" s="72" t="str">
        <f t="shared" ref="AI7" si="13">IF(N7&lt;&gt;"",N7,"")</f>
        <v>End-of-life</v>
      </c>
      <c r="AJ7" s="72" t="str">
        <f>IF(O7&lt;&gt;"",O7,"")</f>
        <v/>
      </c>
      <c r="AK7" s="72" t="str">
        <f t="shared" si="5"/>
        <v>Advance</v>
      </c>
      <c r="AL7" s="122"/>
      <c r="AM7" s="122" t="str">
        <f t="shared" ref="AM7" si="14">IF(R7&lt;&gt;"",R7,"")</f>
        <v>Advance</v>
      </c>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row>
    <row r="8" spans="1:74" ht="14.1" customHeight="1" thickBot="1">
      <c r="A8" s="229"/>
      <c r="B8" s="80" t="s">
        <v>2777</v>
      </c>
      <c r="C8" s="222" t="s">
        <v>2777</v>
      </c>
      <c r="D8" s="80" t="s">
        <v>2777</v>
      </c>
      <c r="E8" s="169" t="s">
        <v>2735</v>
      </c>
      <c r="F8" s="80" t="s">
        <v>3138</v>
      </c>
      <c r="G8" s="80" t="s">
        <v>2777</v>
      </c>
      <c r="H8" s="80" t="s">
        <v>3138</v>
      </c>
      <c r="I8" s="80" t="s">
        <v>2841</v>
      </c>
      <c r="J8" s="80" t="s">
        <v>3138</v>
      </c>
      <c r="K8" s="80" t="s">
        <v>2777</v>
      </c>
      <c r="L8" s="80" t="s">
        <v>3138</v>
      </c>
      <c r="M8" s="80" t="s">
        <v>2777</v>
      </c>
      <c r="N8" s="80" t="s">
        <v>884</v>
      </c>
      <c r="O8" s="80" t="s">
        <v>2777</v>
      </c>
      <c r="P8" s="80" t="s">
        <v>1325</v>
      </c>
      <c r="Q8" s="80" t="s">
        <v>1325</v>
      </c>
      <c r="R8" s="203" t="s">
        <v>1325</v>
      </c>
      <c r="S8" s="22" t="s">
        <v>2047</v>
      </c>
      <c r="T8" s="233"/>
      <c r="U8" s="233"/>
      <c r="V8" s="101" t="str">
        <f t="shared" si="0"/>
        <v>Last update</v>
      </c>
      <c r="W8" s="72" t="str">
        <f t="shared" si="1"/>
        <v>28 February 2018</v>
      </c>
      <c r="X8" s="72" t="str">
        <f t="shared" si="2"/>
        <v>28 February 2018</v>
      </c>
      <c r="Y8" s="72" t="str">
        <f t="shared" si="2"/>
        <v>28 February 2018</v>
      </c>
      <c r="Z8" s="170" t="str">
        <f t="shared" si="2"/>
        <v>20 July 2017</v>
      </c>
      <c r="AA8" s="72" t="str">
        <f t="shared" si="3"/>
        <v>26 September 2018</v>
      </c>
      <c r="AB8" s="72" t="str">
        <f t="shared" si="3"/>
        <v>28 February 2018</v>
      </c>
      <c r="AC8" s="72" t="str">
        <f t="shared" si="3"/>
        <v>26 September 2018</v>
      </c>
      <c r="AD8" s="72" t="str">
        <f t="shared" si="3"/>
        <v>25 July 2018</v>
      </c>
      <c r="AE8" s="72" t="str">
        <f t="shared" si="9"/>
        <v>26 September 2018</v>
      </c>
      <c r="AF8" s="72" t="str">
        <f t="shared" si="9"/>
        <v>28 February 2018</v>
      </c>
      <c r="AG8" s="72" t="str">
        <f t="shared" si="9"/>
        <v>26 September 2018</v>
      </c>
      <c r="AH8" s="72" t="str">
        <f t="shared" si="9"/>
        <v>28 February 2018</v>
      </c>
      <c r="AI8" s="72" t="str">
        <f>IF(N8&lt;&gt;"",N8,"")</f>
        <v>28 May 2013</v>
      </c>
      <c r="AJ8" s="72" t="str">
        <f>IF(O8&lt;&gt;"",O8,"")</f>
        <v>28 February 2018</v>
      </c>
      <c r="AK8" s="72" t="str">
        <f t="shared" si="5"/>
        <v>12 May 2015</v>
      </c>
      <c r="AL8" s="122"/>
      <c r="AM8" s="122" t="str">
        <f>IF(R8&lt;&gt;"",R8,"")</f>
        <v>12 May 2015</v>
      </c>
      <c r="AN8" s="41"/>
      <c r="AO8" s="40"/>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row>
    <row r="9" spans="1:74" s="71" customFormat="1" ht="20.100000000000001" customHeight="1" thickTop="1">
      <c r="A9" s="229"/>
      <c r="B9" s="73" t="s">
        <v>0</v>
      </c>
      <c r="C9" s="73" t="s">
        <v>0</v>
      </c>
      <c r="D9" s="73" t="s">
        <v>0</v>
      </c>
      <c r="E9" s="73" t="s">
        <v>0</v>
      </c>
      <c r="F9" s="135" t="s">
        <v>1051</v>
      </c>
      <c r="G9" s="135" t="s">
        <v>1051</v>
      </c>
      <c r="H9" s="73" t="s">
        <v>0</v>
      </c>
      <c r="I9" s="73" t="s">
        <v>3091</v>
      </c>
      <c r="J9" s="73" t="s">
        <v>0</v>
      </c>
      <c r="K9" s="73" t="s">
        <v>0</v>
      </c>
      <c r="L9" s="73" t="s">
        <v>3137</v>
      </c>
      <c r="M9" s="73" t="s">
        <v>0</v>
      </c>
      <c r="N9" s="73" t="s">
        <v>0</v>
      </c>
      <c r="O9" s="73" t="s">
        <v>0</v>
      </c>
      <c r="P9" s="73" t="s">
        <v>0</v>
      </c>
      <c r="Q9" s="73" t="s">
        <v>0</v>
      </c>
      <c r="R9" s="204" t="s">
        <v>0</v>
      </c>
      <c r="S9" s="219" t="s">
        <v>2775</v>
      </c>
      <c r="T9" s="75" t="s">
        <v>253</v>
      </c>
      <c r="U9" s="76" t="s">
        <v>254</v>
      </c>
      <c r="V9" s="118" t="str">
        <f>IF(S9&lt;&gt;"",S9,"")</f>
        <v>Pin Type (*11)</v>
      </c>
      <c r="W9" s="73" t="s">
        <v>0</v>
      </c>
      <c r="X9" s="73" t="s">
        <v>0</v>
      </c>
      <c r="Y9" s="73" t="s">
        <v>0</v>
      </c>
      <c r="Z9" s="73" t="s">
        <v>0</v>
      </c>
      <c r="AA9" s="135" t="s">
        <v>1051</v>
      </c>
      <c r="AB9" s="135" t="s">
        <v>1051</v>
      </c>
      <c r="AC9" s="73" t="s">
        <v>0</v>
      </c>
      <c r="AD9" s="73" t="s">
        <v>3091</v>
      </c>
      <c r="AE9" s="73" t="s">
        <v>0</v>
      </c>
      <c r="AF9" s="73" t="s">
        <v>0</v>
      </c>
      <c r="AG9" s="73" t="s">
        <v>3137</v>
      </c>
      <c r="AH9" s="73" t="s">
        <v>0</v>
      </c>
      <c r="AI9" s="73" t="s">
        <v>0</v>
      </c>
      <c r="AJ9" s="73" t="s">
        <v>0</v>
      </c>
      <c r="AK9" s="73" t="s">
        <v>0</v>
      </c>
      <c r="AL9" s="123"/>
      <c r="AM9" s="123" t="s">
        <v>0</v>
      </c>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row>
    <row r="10" spans="1:74" ht="14.1" customHeight="1">
      <c r="A10" s="230"/>
      <c r="B10" s="172" t="s">
        <v>288</v>
      </c>
      <c r="C10" s="173" t="s">
        <v>2771</v>
      </c>
      <c r="D10" s="173" t="s">
        <v>288</v>
      </c>
      <c r="E10" s="173" t="s">
        <v>288</v>
      </c>
      <c r="F10" s="172" t="s">
        <v>288</v>
      </c>
      <c r="G10" s="172" t="s">
        <v>288</v>
      </c>
      <c r="H10" s="174" t="s">
        <v>288</v>
      </c>
      <c r="I10" s="172" t="s">
        <v>288</v>
      </c>
      <c r="J10" s="172" t="s">
        <v>288</v>
      </c>
      <c r="K10" s="173" t="s">
        <v>288</v>
      </c>
      <c r="L10" s="172" t="s">
        <v>288</v>
      </c>
      <c r="M10" s="172" t="s">
        <v>288</v>
      </c>
      <c r="N10" s="173" t="s">
        <v>288</v>
      </c>
      <c r="O10" s="172" t="s">
        <v>522</v>
      </c>
      <c r="P10" s="172" t="s">
        <v>522</v>
      </c>
      <c r="Q10" s="172" t="s">
        <v>522</v>
      </c>
      <c r="R10" s="205" t="s">
        <v>522</v>
      </c>
      <c r="S10" s="212" t="s">
        <v>235</v>
      </c>
      <c r="T10" s="54">
        <v>1</v>
      </c>
      <c r="U10" s="55">
        <v>2</v>
      </c>
      <c r="V10" s="175" t="s">
        <v>235</v>
      </c>
      <c r="W10" s="172" t="s">
        <v>288</v>
      </c>
      <c r="X10" s="173" t="s">
        <v>2771</v>
      </c>
      <c r="Y10" s="173" t="s">
        <v>288</v>
      </c>
      <c r="Z10" s="173" t="s">
        <v>288</v>
      </c>
      <c r="AA10" s="36" t="s">
        <v>288</v>
      </c>
      <c r="AB10" s="36" t="s">
        <v>288</v>
      </c>
      <c r="AC10" s="152" t="s">
        <v>288</v>
      </c>
      <c r="AD10" s="38" t="s">
        <v>288</v>
      </c>
      <c r="AE10" s="38" t="s">
        <v>288</v>
      </c>
      <c r="AF10" s="45" t="s">
        <v>288</v>
      </c>
      <c r="AG10" s="38" t="s">
        <v>288</v>
      </c>
      <c r="AH10" s="38" t="s">
        <v>288</v>
      </c>
      <c r="AI10" s="51" t="s">
        <v>288</v>
      </c>
      <c r="AJ10" s="38" t="s">
        <v>522</v>
      </c>
      <c r="AK10" s="38" t="s">
        <v>522</v>
      </c>
      <c r="AL10" s="38"/>
      <c r="AM10" s="38" t="s">
        <v>522</v>
      </c>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row>
    <row r="11" spans="1:74" ht="14.1" customHeight="1">
      <c r="A11" s="113" t="s">
        <v>2032</v>
      </c>
      <c r="B11" s="172" t="s">
        <v>288</v>
      </c>
      <c r="C11" s="173" t="s">
        <v>2771</v>
      </c>
      <c r="D11" s="173" t="s">
        <v>288</v>
      </c>
      <c r="E11" s="173" t="s">
        <v>288</v>
      </c>
      <c r="F11" s="172" t="s">
        <v>288</v>
      </c>
      <c r="G11" s="172" t="s">
        <v>288</v>
      </c>
      <c r="H11" s="176" t="s">
        <v>288</v>
      </c>
      <c r="I11" s="172" t="s">
        <v>288</v>
      </c>
      <c r="J11" s="172" t="s">
        <v>288</v>
      </c>
      <c r="K11" s="173" t="s">
        <v>288</v>
      </c>
      <c r="L11" s="172" t="s">
        <v>288</v>
      </c>
      <c r="M11" s="172" t="s">
        <v>288</v>
      </c>
      <c r="N11" s="173" t="s">
        <v>288</v>
      </c>
      <c r="O11" s="172" t="s">
        <v>522</v>
      </c>
      <c r="P11" s="172" t="s">
        <v>522</v>
      </c>
      <c r="Q11" s="172" t="s">
        <v>522</v>
      </c>
      <c r="R11" s="205" t="s">
        <v>522</v>
      </c>
      <c r="S11" s="212" t="s">
        <v>235</v>
      </c>
      <c r="T11" s="54">
        <v>3</v>
      </c>
      <c r="U11" s="55">
        <v>4</v>
      </c>
      <c r="V11" s="175" t="s">
        <v>235</v>
      </c>
      <c r="W11" s="172" t="s">
        <v>288</v>
      </c>
      <c r="X11" s="173" t="s">
        <v>2771</v>
      </c>
      <c r="Y11" s="173" t="s">
        <v>288</v>
      </c>
      <c r="Z11" s="173" t="s">
        <v>288</v>
      </c>
      <c r="AA11" s="36" t="s">
        <v>288</v>
      </c>
      <c r="AB11" s="36" t="s">
        <v>288</v>
      </c>
      <c r="AC11" s="153" t="s">
        <v>288</v>
      </c>
      <c r="AD11" s="38" t="s">
        <v>288</v>
      </c>
      <c r="AE11" s="38" t="s">
        <v>288</v>
      </c>
      <c r="AF11" s="45" t="s">
        <v>288</v>
      </c>
      <c r="AG11" s="38" t="s">
        <v>288</v>
      </c>
      <c r="AH11" s="38" t="s">
        <v>288</v>
      </c>
      <c r="AI11" s="51" t="s">
        <v>288</v>
      </c>
      <c r="AJ11" s="38" t="s">
        <v>522</v>
      </c>
      <c r="AK11" s="38" t="s">
        <v>522</v>
      </c>
      <c r="AL11" s="38"/>
      <c r="AM11" s="38" t="s">
        <v>522</v>
      </c>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row>
    <row r="12" spans="1:74" ht="14.1" customHeight="1">
      <c r="A12" s="114" t="s">
        <v>2033</v>
      </c>
      <c r="B12" s="172" t="s">
        <v>288</v>
      </c>
      <c r="C12" s="173" t="s">
        <v>2771</v>
      </c>
      <c r="D12" s="173" t="s">
        <v>288</v>
      </c>
      <c r="E12" s="173" t="s">
        <v>288</v>
      </c>
      <c r="F12" s="172" t="s">
        <v>288</v>
      </c>
      <c r="G12" s="172" t="s">
        <v>288</v>
      </c>
      <c r="H12" s="176" t="s">
        <v>288</v>
      </c>
      <c r="I12" s="172" t="s">
        <v>288</v>
      </c>
      <c r="J12" s="172" t="s">
        <v>288</v>
      </c>
      <c r="K12" s="173" t="s">
        <v>288</v>
      </c>
      <c r="L12" s="172" t="s">
        <v>288</v>
      </c>
      <c r="M12" s="172" t="s">
        <v>288</v>
      </c>
      <c r="N12" s="173" t="s">
        <v>288</v>
      </c>
      <c r="O12" s="172" t="s">
        <v>522</v>
      </c>
      <c r="P12" s="172" t="s">
        <v>522</v>
      </c>
      <c r="Q12" s="172" t="s">
        <v>522</v>
      </c>
      <c r="R12" s="205" t="s">
        <v>522</v>
      </c>
      <c r="S12" s="212" t="s">
        <v>235</v>
      </c>
      <c r="T12" s="54">
        <v>5</v>
      </c>
      <c r="U12" s="55">
        <v>6</v>
      </c>
      <c r="V12" s="175" t="s">
        <v>235</v>
      </c>
      <c r="W12" s="172" t="s">
        <v>288</v>
      </c>
      <c r="X12" s="173" t="s">
        <v>2771</v>
      </c>
      <c r="Y12" s="173" t="s">
        <v>288</v>
      </c>
      <c r="Z12" s="173" t="s">
        <v>288</v>
      </c>
      <c r="AA12" s="36" t="s">
        <v>288</v>
      </c>
      <c r="AB12" s="36" t="s">
        <v>288</v>
      </c>
      <c r="AC12" s="153" t="s">
        <v>288</v>
      </c>
      <c r="AD12" s="38" t="s">
        <v>288</v>
      </c>
      <c r="AE12" s="38" t="s">
        <v>288</v>
      </c>
      <c r="AF12" s="45" t="s">
        <v>288</v>
      </c>
      <c r="AG12" s="38" t="s">
        <v>288</v>
      </c>
      <c r="AH12" s="38" t="s">
        <v>288</v>
      </c>
      <c r="AI12" s="51" t="s">
        <v>288</v>
      </c>
      <c r="AJ12" s="38" t="s">
        <v>522</v>
      </c>
      <c r="AK12" s="38" t="s">
        <v>522</v>
      </c>
      <c r="AL12" s="38"/>
      <c r="AM12" s="38" t="s">
        <v>522</v>
      </c>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row>
    <row r="13" spans="1:74" ht="14.1" customHeight="1">
      <c r="A13" s="30"/>
      <c r="B13" s="172" t="s">
        <v>288</v>
      </c>
      <c r="C13" s="173" t="s">
        <v>2771</v>
      </c>
      <c r="D13" s="173" t="s">
        <v>288</v>
      </c>
      <c r="E13" s="173" t="s">
        <v>288</v>
      </c>
      <c r="F13" s="172" t="s">
        <v>288</v>
      </c>
      <c r="G13" s="172" t="s">
        <v>288</v>
      </c>
      <c r="H13" s="176" t="s">
        <v>288</v>
      </c>
      <c r="I13" s="172" t="s">
        <v>288</v>
      </c>
      <c r="J13" s="172" t="s">
        <v>288</v>
      </c>
      <c r="K13" s="173" t="s">
        <v>288</v>
      </c>
      <c r="L13" s="172" t="s">
        <v>288</v>
      </c>
      <c r="M13" s="172" t="s">
        <v>288</v>
      </c>
      <c r="N13" s="173" t="s">
        <v>288</v>
      </c>
      <c r="O13" s="172" t="s">
        <v>522</v>
      </c>
      <c r="P13" s="172" t="s">
        <v>522</v>
      </c>
      <c r="Q13" s="172" t="s">
        <v>522</v>
      </c>
      <c r="R13" s="205" t="s">
        <v>522</v>
      </c>
      <c r="S13" s="212" t="s">
        <v>235</v>
      </c>
      <c r="T13" s="54">
        <v>7</v>
      </c>
      <c r="U13" s="55">
        <v>8</v>
      </c>
      <c r="V13" s="175" t="s">
        <v>235</v>
      </c>
      <c r="W13" s="172" t="s">
        <v>288</v>
      </c>
      <c r="X13" s="173" t="s">
        <v>2771</v>
      </c>
      <c r="Y13" s="173" t="s">
        <v>288</v>
      </c>
      <c r="Z13" s="173" t="s">
        <v>288</v>
      </c>
      <c r="AA13" s="36" t="s">
        <v>288</v>
      </c>
      <c r="AB13" s="36" t="s">
        <v>288</v>
      </c>
      <c r="AC13" s="153" t="s">
        <v>288</v>
      </c>
      <c r="AD13" s="38" t="s">
        <v>288</v>
      </c>
      <c r="AE13" s="38" t="s">
        <v>288</v>
      </c>
      <c r="AF13" s="45" t="s">
        <v>288</v>
      </c>
      <c r="AG13" s="38" t="s">
        <v>288</v>
      </c>
      <c r="AH13" s="38" t="s">
        <v>288</v>
      </c>
      <c r="AI13" s="51" t="s">
        <v>288</v>
      </c>
      <c r="AJ13" s="38" t="s">
        <v>522</v>
      </c>
      <c r="AK13" s="38" t="s">
        <v>522</v>
      </c>
      <c r="AL13" s="38"/>
      <c r="AM13" s="38" t="s">
        <v>522</v>
      </c>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row>
    <row r="14" spans="1:74" ht="14.1" customHeight="1">
      <c r="A14" s="30"/>
      <c r="B14" s="172" t="s">
        <v>288</v>
      </c>
      <c r="C14" s="173" t="s">
        <v>2771</v>
      </c>
      <c r="D14" s="173" t="s">
        <v>288</v>
      </c>
      <c r="E14" s="173" t="s">
        <v>288</v>
      </c>
      <c r="F14" s="172" t="s">
        <v>288</v>
      </c>
      <c r="G14" s="172" t="s">
        <v>288</v>
      </c>
      <c r="H14" s="176" t="s">
        <v>288</v>
      </c>
      <c r="I14" s="172" t="s">
        <v>288</v>
      </c>
      <c r="J14" s="172" t="s">
        <v>288</v>
      </c>
      <c r="K14" s="173" t="s">
        <v>288</v>
      </c>
      <c r="L14" s="172" t="s">
        <v>288</v>
      </c>
      <c r="M14" s="172" t="s">
        <v>288</v>
      </c>
      <c r="N14" s="173" t="s">
        <v>288</v>
      </c>
      <c r="O14" s="172" t="s">
        <v>522</v>
      </c>
      <c r="P14" s="172" t="s">
        <v>522</v>
      </c>
      <c r="Q14" s="172" t="s">
        <v>522</v>
      </c>
      <c r="R14" s="205" t="s">
        <v>522</v>
      </c>
      <c r="S14" s="212" t="s">
        <v>235</v>
      </c>
      <c r="T14" s="54">
        <v>9</v>
      </c>
      <c r="U14" s="55">
        <v>10</v>
      </c>
      <c r="V14" s="177" t="s">
        <v>40</v>
      </c>
      <c r="W14" s="91" t="s">
        <v>40</v>
      </c>
      <c r="X14" s="49" t="s">
        <v>40</v>
      </c>
      <c r="Y14" s="49" t="s">
        <v>40</v>
      </c>
      <c r="Z14" s="49" t="s">
        <v>40</v>
      </c>
      <c r="AA14" s="35" t="s">
        <v>40</v>
      </c>
      <c r="AB14" s="35" t="s">
        <v>40</v>
      </c>
      <c r="AC14" s="154" t="s">
        <v>40</v>
      </c>
      <c r="AD14" s="57" t="s">
        <v>40</v>
      </c>
      <c r="AE14" s="57" t="s">
        <v>40</v>
      </c>
      <c r="AF14" s="46" t="s">
        <v>40</v>
      </c>
      <c r="AG14" s="57" t="s">
        <v>40</v>
      </c>
      <c r="AH14" s="57" t="s">
        <v>40</v>
      </c>
      <c r="AI14" s="81" t="s">
        <v>40</v>
      </c>
      <c r="AJ14" s="57" t="s">
        <v>40</v>
      </c>
      <c r="AK14" s="57" t="s">
        <v>40</v>
      </c>
      <c r="AL14" s="57"/>
      <c r="AM14" s="57" t="s">
        <v>40</v>
      </c>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row>
    <row r="15" spans="1:74" ht="14.1" customHeight="1">
      <c r="A15" s="30"/>
      <c r="B15" s="172" t="s">
        <v>288</v>
      </c>
      <c r="C15" s="173" t="s">
        <v>2771</v>
      </c>
      <c r="D15" s="173" t="s">
        <v>288</v>
      </c>
      <c r="E15" s="173" t="s">
        <v>288</v>
      </c>
      <c r="F15" s="172" t="s">
        <v>288</v>
      </c>
      <c r="G15" s="172" t="s">
        <v>288</v>
      </c>
      <c r="H15" s="176" t="s">
        <v>288</v>
      </c>
      <c r="I15" s="172" t="s">
        <v>288</v>
      </c>
      <c r="J15" s="172" t="s">
        <v>288</v>
      </c>
      <c r="K15" s="173" t="s">
        <v>288</v>
      </c>
      <c r="L15" s="172" t="s">
        <v>288</v>
      </c>
      <c r="M15" s="172" t="s">
        <v>288</v>
      </c>
      <c r="N15" s="173" t="s">
        <v>288</v>
      </c>
      <c r="O15" s="172" t="s">
        <v>522</v>
      </c>
      <c r="P15" s="172" t="s">
        <v>522</v>
      </c>
      <c r="Q15" s="172" t="s">
        <v>522</v>
      </c>
      <c r="R15" s="205" t="s">
        <v>522</v>
      </c>
      <c r="S15" s="212" t="s">
        <v>235</v>
      </c>
      <c r="T15" s="54">
        <v>11</v>
      </c>
      <c r="U15" s="55">
        <v>12</v>
      </c>
      <c r="V15" s="177" t="s">
        <v>67</v>
      </c>
      <c r="W15" s="91" t="s">
        <v>67</v>
      </c>
      <c r="X15" s="49" t="s">
        <v>67</v>
      </c>
      <c r="Y15" s="49" t="s">
        <v>67</v>
      </c>
      <c r="Z15" s="49" t="s">
        <v>67</v>
      </c>
      <c r="AA15" s="35" t="s">
        <v>67</v>
      </c>
      <c r="AB15" s="35" t="s">
        <v>67</v>
      </c>
      <c r="AC15" s="154" t="s">
        <v>67</v>
      </c>
      <c r="AD15" s="57" t="s">
        <v>67</v>
      </c>
      <c r="AE15" s="57" t="s">
        <v>67</v>
      </c>
      <c r="AF15" s="46" t="s">
        <v>67</v>
      </c>
      <c r="AG15" s="57" t="s">
        <v>67</v>
      </c>
      <c r="AH15" s="57" t="s">
        <v>67</v>
      </c>
      <c r="AI15" s="81" t="s">
        <v>67</v>
      </c>
      <c r="AJ15" s="57" t="s">
        <v>67</v>
      </c>
      <c r="AK15" s="57" t="s">
        <v>67</v>
      </c>
      <c r="AL15" s="57"/>
      <c r="AM15" s="57" t="s">
        <v>67</v>
      </c>
      <c r="AN15" s="41"/>
      <c r="AO15" s="41"/>
      <c r="AP15" s="41"/>
      <c r="AQ15" s="41"/>
      <c r="AR15" s="41"/>
      <c r="AS15" s="41"/>
      <c r="AT15" s="41"/>
      <c r="AU15" s="41"/>
      <c r="AV15" s="41"/>
      <c r="AW15" s="41"/>
      <c r="AX15" s="41"/>
      <c r="AY15" s="41"/>
      <c r="AZ15" s="41"/>
      <c r="BA15" s="41"/>
      <c r="BB15" s="41"/>
      <c r="BC15" s="41"/>
      <c r="BD15" s="41"/>
      <c r="BE15" s="41"/>
      <c r="BF15" s="41"/>
      <c r="BG15" s="41"/>
      <c r="BH15" s="41"/>
      <c r="BI15" s="41"/>
      <c r="BJ15" s="41"/>
      <c r="BK15" s="41"/>
      <c r="BL15" s="41"/>
      <c r="BM15" s="41"/>
      <c r="BN15" s="41"/>
      <c r="BO15" s="41"/>
      <c r="BP15" s="41"/>
      <c r="BQ15" s="41"/>
      <c r="BR15" s="41"/>
      <c r="BS15" s="41"/>
      <c r="BT15" s="41"/>
      <c r="BU15" s="41"/>
      <c r="BV15" s="41"/>
    </row>
    <row r="16" spans="1:74" ht="14.1" customHeight="1">
      <c r="A16" s="30"/>
      <c r="B16" s="178" t="s">
        <v>2</v>
      </c>
      <c r="C16" s="179" t="s">
        <v>2</v>
      </c>
      <c r="D16" s="179" t="s">
        <v>2</v>
      </c>
      <c r="E16" s="179" t="s">
        <v>2</v>
      </c>
      <c r="F16" s="178" t="s">
        <v>2</v>
      </c>
      <c r="G16" s="178" t="s">
        <v>2</v>
      </c>
      <c r="H16" s="180" t="s">
        <v>2</v>
      </c>
      <c r="I16" s="178" t="s">
        <v>2</v>
      </c>
      <c r="J16" s="178" t="s">
        <v>2</v>
      </c>
      <c r="K16" s="179" t="s">
        <v>2</v>
      </c>
      <c r="L16" s="178" t="s">
        <v>2</v>
      </c>
      <c r="M16" s="178" t="s">
        <v>2</v>
      </c>
      <c r="N16" s="179" t="s">
        <v>2</v>
      </c>
      <c r="O16" s="178" t="s">
        <v>2</v>
      </c>
      <c r="P16" s="178" t="s">
        <v>2</v>
      </c>
      <c r="Q16" s="178" t="s">
        <v>2</v>
      </c>
      <c r="R16" s="206" t="s">
        <v>2</v>
      </c>
      <c r="S16" s="213" t="s">
        <v>2</v>
      </c>
      <c r="T16" s="54">
        <v>13</v>
      </c>
      <c r="U16" s="55">
        <v>14</v>
      </c>
      <c r="V16" s="181" t="s">
        <v>2</v>
      </c>
      <c r="W16" s="178" t="s">
        <v>2</v>
      </c>
      <c r="X16" s="179" t="s">
        <v>2</v>
      </c>
      <c r="Y16" s="179" t="s">
        <v>2</v>
      </c>
      <c r="Z16" s="179" t="s">
        <v>2</v>
      </c>
      <c r="AA16" s="32" t="s">
        <v>2</v>
      </c>
      <c r="AB16" s="32" t="s">
        <v>2</v>
      </c>
      <c r="AC16" s="155" t="s">
        <v>2</v>
      </c>
      <c r="AD16" s="37" t="s">
        <v>2</v>
      </c>
      <c r="AE16" s="37" t="s">
        <v>2</v>
      </c>
      <c r="AF16" s="47" t="s">
        <v>2</v>
      </c>
      <c r="AG16" s="37" t="s">
        <v>2</v>
      </c>
      <c r="AH16" s="37" t="s">
        <v>2</v>
      </c>
      <c r="AI16" s="50" t="s">
        <v>2</v>
      </c>
      <c r="AJ16" s="37" t="s">
        <v>2</v>
      </c>
      <c r="AK16" s="37" t="s">
        <v>2</v>
      </c>
      <c r="AL16" s="37"/>
      <c r="AM16" s="37" t="s">
        <v>2</v>
      </c>
      <c r="AN16" s="41"/>
      <c r="AO16" s="41"/>
      <c r="AP16" s="41"/>
      <c r="AQ16" s="41"/>
      <c r="AR16" s="41"/>
      <c r="AS16" s="41"/>
      <c r="AT16" s="41"/>
      <c r="AU16" s="41"/>
      <c r="AV16" s="41"/>
      <c r="AW16" s="41"/>
      <c r="AX16" s="41"/>
      <c r="AY16" s="41"/>
      <c r="AZ16" s="41"/>
      <c r="BA16" s="41"/>
      <c r="BB16" s="41"/>
      <c r="BC16" s="41"/>
      <c r="BD16" s="41"/>
      <c r="BE16" s="41"/>
      <c r="BF16" s="41"/>
      <c r="BG16" s="41"/>
      <c r="BH16" s="41"/>
      <c r="BI16" s="41"/>
      <c r="BJ16" s="41"/>
      <c r="BK16" s="41"/>
      <c r="BL16" s="41"/>
      <c r="BM16" s="41"/>
      <c r="BN16" s="41"/>
      <c r="BO16" s="41"/>
      <c r="BP16" s="41"/>
      <c r="BQ16" s="41"/>
      <c r="BR16" s="41"/>
      <c r="BS16" s="41"/>
      <c r="BT16" s="41"/>
      <c r="BU16" s="41"/>
      <c r="BV16" s="41"/>
    </row>
    <row r="17" spans="1:74" ht="14.1" customHeight="1">
      <c r="A17" s="30"/>
      <c r="B17" s="91" t="s">
        <v>1413</v>
      </c>
      <c r="C17" s="49" t="s">
        <v>289</v>
      </c>
      <c r="D17" s="49" t="s">
        <v>1997</v>
      </c>
      <c r="E17" s="49" t="s">
        <v>1997</v>
      </c>
      <c r="F17" s="91" t="s">
        <v>523</v>
      </c>
      <c r="G17" s="91" t="s">
        <v>1238</v>
      </c>
      <c r="H17" s="182" t="s">
        <v>2289</v>
      </c>
      <c r="I17" s="91" t="s">
        <v>2633</v>
      </c>
      <c r="J17" s="91" t="s">
        <v>2291</v>
      </c>
      <c r="K17" s="91" t="s">
        <v>3167</v>
      </c>
      <c r="L17" s="91" t="s">
        <v>2845</v>
      </c>
      <c r="M17" s="91" t="s">
        <v>672</v>
      </c>
      <c r="N17" s="49" t="s">
        <v>167</v>
      </c>
      <c r="O17" s="91" t="s">
        <v>525</v>
      </c>
      <c r="Q17" s="91" t="s">
        <v>525</v>
      </c>
      <c r="R17" s="207" t="s">
        <v>525</v>
      </c>
      <c r="S17" s="214" t="s">
        <v>10</v>
      </c>
      <c r="T17" s="54">
        <v>15</v>
      </c>
      <c r="U17" s="55">
        <v>16</v>
      </c>
      <c r="V17" s="183" t="s">
        <v>32</v>
      </c>
      <c r="W17" s="91" t="s">
        <v>1457</v>
      </c>
      <c r="X17" s="49" t="s">
        <v>312</v>
      </c>
      <c r="Y17" s="48" t="s">
        <v>1953</v>
      </c>
      <c r="Z17" s="48" t="s">
        <v>1961</v>
      </c>
      <c r="AA17" s="34" t="s">
        <v>633</v>
      </c>
      <c r="AB17" s="35" t="s">
        <v>1224</v>
      </c>
      <c r="AC17" s="158" t="s">
        <v>2324</v>
      </c>
      <c r="AD17" s="223" t="s">
        <v>2631</v>
      </c>
      <c r="AE17" s="82" t="s">
        <v>2297</v>
      </c>
      <c r="AF17" s="34" t="s">
        <v>907</v>
      </c>
      <c r="AG17" s="82" t="s">
        <v>2871</v>
      </c>
      <c r="AH17" s="82" t="s">
        <v>565</v>
      </c>
      <c r="AI17" s="83" t="s">
        <v>313</v>
      </c>
      <c r="AJ17" s="82" t="s">
        <v>1754</v>
      </c>
      <c r="AK17" s="82"/>
      <c r="AL17" s="82"/>
      <c r="AM17" s="82" t="s">
        <v>1754</v>
      </c>
      <c r="AN17" s="41"/>
      <c r="AO17" s="41"/>
      <c r="AP17" s="41"/>
      <c r="AQ17" s="41"/>
      <c r="AR17" s="41"/>
      <c r="AS17" s="41"/>
      <c r="AT17" s="41"/>
      <c r="AU17" s="41"/>
      <c r="AV17" s="41"/>
      <c r="AW17" s="41"/>
      <c r="AX17" s="41"/>
      <c r="AY17" s="41"/>
      <c r="AZ17" s="41"/>
      <c r="BA17" s="41"/>
      <c r="BB17" s="41"/>
      <c r="BC17" s="41"/>
      <c r="BD17" s="41"/>
      <c r="BE17" s="41"/>
      <c r="BF17" s="41"/>
      <c r="BG17" s="41"/>
      <c r="BH17" s="41"/>
      <c r="BI17" s="41"/>
      <c r="BJ17" s="41"/>
      <c r="BK17" s="41"/>
      <c r="BL17" s="41"/>
      <c r="BM17" s="41"/>
      <c r="BN17" s="41"/>
      <c r="BO17" s="41"/>
      <c r="BP17" s="41"/>
      <c r="BQ17" s="41"/>
      <c r="BR17" s="41"/>
      <c r="BS17" s="41"/>
      <c r="BT17" s="41"/>
      <c r="BU17" s="41"/>
      <c r="BV17" s="41"/>
    </row>
    <row r="18" spans="1:74" ht="14.1" customHeight="1">
      <c r="A18" s="30"/>
      <c r="B18" s="91" t="s">
        <v>1412</v>
      </c>
      <c r="C18" s="49" t="s">
        <v>290</v>
      </c>
      <c r="D18" s="49" t="s">
        <v>1998</v>
      </c>
      <c r="E18" s="49" t="s">
        <v>1998</v>
      </c>
      <c r="F18" s="91" t="s">
        <v>526</v>
      </c>
      <c r="G18" s="91" t="s">
        <v>1239</v>
      </c>
      <c r="H18" s="182" t="s">
        <v>2290</v>
      </c>
      <c r="I18" s="91" t="s">
        <v>2634</v>
      </c>
      <c r="J18" s="91" t="s">
        <v>2292</v>
      </c>
      <c r="K18" s="91" t="s">
        <v>3168</v>
      </c>
      <c r="L18" s="91" t="s">
        <v>2846</v>
      </c>
      <c r="M18" s="91" t="s">
        <v>675</v>
      </c>
      <c r="N18" s="49" t="s">
        <v>168</v>
      </c>
      <c r="O18" s="91" t="s">
        <v>528</v>
      </c>
      <c r="Q18" s="91" t="s">
        <v>528</v>
      </c>
      <c r="R18" s="207" t="s">
        <v>528</v>
      </c>
      <c r="S18" s="214" t="s">
        <v>11</v>
      </c>
      <c r="T18" s="54">
        <v>17</v>
      </c>
      <c r="U18" s="55">
        <v>18</v>
      </c>
      <c r="V18" s="183" t="s">
        <v>33</v>
      </c>
      <c r="W18" s="91" t="s">
        <v>1456</v>
      </c>
      <c r="X18" s="49" t="s">
        <v>314</v>
      </c>
      <c r="Y18" s="48" t="s">
        <v>1954</v>
      </c>
      <c r="Z18" s="48" t="s">
        <v>1962</v>
      </c>
      <c r="AA18" s="34" t="s">
        <v>635</v>
      </c>
      <c r="AB18" s="35" t="s">
        <v>1225</v>
      </c>
      <c r="AC18" s="158" t="s">
        <v>2325</v>
      </c>
      <c r="AD18" s="223" t="s">
        <v>2632</v>
      </c>
      <c r="AE18" s="82" t="s">
        <v>2298</v>
      </c>
      <c r="AF18" s="34" t="s">
        <v>908</v>
      </c>
      <c r="AG18" s="82" t="s">
        <v>2872</v>
      </c>
      <c r="AH18" s="82" t="s">
        <v>568</v>
      </c>
      <c r="AI18" s="83" t="s">
        <v>315</v>
      </c>
      <c r="AJ18" s="82" t="s">
        <v>1755</v>
      </c>
      <c r="AK18" s="82"/>
      <c r="AL18" s="82"/>
      <c r="AM18" s="82" t="s">
        <v>1755</v>
      </c>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41"/>
      <c r="BL18" s="41"/>
      <c r="BM18" s="41"/>
      <c r="BN18" s="41"/>
      <c r="BO18" s="41"/>
      <c r="BP18" s="41"/>
      <c r="BQ18" s="41"/>
      <c r="BR18" s="41"/>
      <c r="BS18" s="41"/>
      <c r="BT18" s="41"/>
      <c r="BU18" s="41"/>
      <c r="BV18" s="41"/>
    </row>
    <row r="19" spans="1:74" ht="14.1" customHeight="1">
      <c r="A19" s="30"/>
      <c r="B19" s="91" t="s">
        <v>1453</v>
      </c>
      <c r="C19" s="49" t="s">
        <v>291</v>
      </c>
      <c r="D19" s="49" t="s">
        <v>1999</v>
      </c>
      <c r="E19" s="49" t="s">
        <v>2017</v>
      </c>
      <c r="F19" s="91" t="s">
        <v>529</v>
      </c>
      <c r="G19" s="91" t="s">
        <v>1240</v>
      </c>
      <c r="H19" s="182" t="s">
        <v>2291</v>
      </c>
      <c r="I19" s="91" t="s">
        <v>2635</v>
      </c>
      <c r="J19" s="91" t="s">
        <v>2289</v>
      </c>
      <c r="K19" s="91" t="s">
        <v>3169</v>
      </c>
      <c r="L19" s="91" t="s">
        <v>2847</v>
      </c>
      <c r="M19" s="91" t="s">
        <v>559</v>
      </c>
      <c r="N19" s="49" t="s">
        <v>169</v>
      </c>
      <c r="O19" s="91" t="s">
        <v>531</v>
      </c>
      <c r="Q19" s="91" t="s">
        <v>531</v>
      </c>
      <c r="R19" s="207" t="s">
        <v>531</v>
      </c>
      <c r="S19" s="214" t="s">
        <v>10</v>
      </c>
      <c r="T19" s="54">
        <v>19</v>
      </c>
      <c r="U19" s="55">
        <v>20</v>
      </c>
      <c r="V19" s="181" t="s">
        <v>2</v>
      </c>
      <c r="W19" s="178" t="s">
        <v>2</v>
      </c>
      <c r="X19" s="179" t="s">
        <v>2</v>
      </c>
      <c r="Y19" s="179" t="s">
        <v>2</v>
      </c>
      <c r="Z19" s="179" t="s">
        <v>2</v>
      </c>
      <c r="AA19" s="32" t="s">
        <v>2</v>
      </c>
      <c r="AB19" s="32" t="s">
        <v>2</v>
      </c>
      <c r="AC19" s="155" t="s">
        <v>2</v>
      </c>
      <c r="AD19" s="37" t="s">
        <v>2</v>
      </c>
      <c r="AE19" s="37" t="s">
        <v>2</v>
      </c>
      <c r="AF19" s="47" t="s">
        <v>2</v>
      </c>
      <c r="AG19" s="37" t="s">
        <v>2</v>
      </c>
      <c r="AH19" s="37" t="s">
        <v>2</v>
      </c>
      <c r="AI19" s="50" t="s">
        <v>2</v>
      </c>
      <c r="AJ19" s="37" t="s">
        <v>2</v>
      </c>
      <c r="AK19" s="37" t="s">
        <v>2</v>
      </c>
      <c r="AL19" s="37"/>
      <c r="AM19" s="37" t="s">
        <v>2</v>
      </c>
      <c r="AN19" s="41"/>
      <c r="AO19" s="41"/>
      <c r="AP19" s="41"/>
      <c r="AQ19" s="41"/>
      <c r="AR19" s="41"/>
      <c r="AS19" s="41"/>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c r="BR19" s="41"/>
      <c r="BS19" s="41"/>
      <c r="BT19" s="41"/>
      <c r="BU19" s="41"/>
      <c r="BV19" s="41"/>
    </row>
    <row r="20" spans="1:74" ht="14.1" customHeight="1">
      <c r="A20" s="30"/>
      <c r="B20" s="91" t="s">
        <v>2616</v>
      </c>
      <c r="C20" s="49" t="s">
        <v>292</v>
      </c>
      <c r="D20" s="49" t="s">
        <v>2000</v>
      </c>
      <c r="E20" s="49" t="s">
        <v>2018</v>
      </c>
      <c r="F20" s="91" t="s">
        <v>532</v>
      </c>
      <c r="G20" s="91" t="s">
        <v>1241</v>
      </c>
      <c r="H20" s="182" t="s">
        <v>2292</v>
      </c>
      <c r="I20" s="91" t="s">
        <v>2636</v>
      </c>
      <c r="J20" s="91" t="s">
        <v>2290</v>
      </c>
      <c r="K20" s="91" t="s">
        <v>3170</v>
      </c>
      <c r="L20" s="91" t="s">
        <v>2848</v>
      </c>
      <c r="M20" s="91" t="s">
        <v>562</v>
      </c>
      <c r="N20" s="49" t="s">
        <v>170</v>
      </c>
      <c r="O20" s="91" t="s">
        <v>534</v>
      </c>
      <c r="Q20" s="91" t="s">
        <v>534</v>
      </c>
      <c r="R20" s="207" t="s">
        <v>534</v>
      </c>
      <c r="S20" s="214" t="s">
        <v>11</v>
      </c>
      <c r="T20" s="54">
        <v>21</v>
      </c>
      <c r="U20" s="55">
        <v>22</v>
      </c>
      <c r="V20" s="177" t="s">
        <v>10</v>
      </c>
      <c r="W20" s="91" t="s">
        <v>1419</v>
      </c>
      <c r="X20" s="49" t="s">
        <v>316</v>
      </c>
      <c r="Y20" s="49" t="s">
        <v>1955</v>
      </c>
      <c r="Z20" s="49" t="s">
        <v>1955</v>
      </c>
      <c r="AA20" s="35" t="s">
        <v>637</v>
      </c>
      <c r="AB20" s="35" t="s">
        <v>1218</v>
      </c>
      <c r="AC20" s="154" t="s">
        <v>2326</v>
      </c>
      <c r="AD20" s="42" t="s">
        <v>2637</v>
      </c>
      <c r="AE20" s="57" t="s">
        <v>2293</v>
      </c>
      <c r="AF20" s="35" t="s">
        <v>909</v>
      </c>
      <c r="AG20" s="57" t="s">
        <v>2873</v>
      </c>
      <c r="AH20" s="57" t="s">
        <v>524</v>
      </c>
      <c r="AI20" s="81" t="s">
        <v>224</v>
      </c>
      <c r="AJ20" s="57" t="s">
        <v>639</v>
      </c>
      <c r="AK20" s="57"/>
      <c r="AL20" s="57"/>
      <c r="AM20" s="57" t="s">
        <v>639</v>
      </c>
      <c r="AN20" s="41"/>
      <c r="AO20" s="41"/>
      <c r="AP20" s="41"/>
      <c r="AQ20" s="41"/>
      <c r="AR20" s="41"/>
      <c r="AS20" s="41"/>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c r="BR20" s="41"/>
      <c r="BS20" s="41"/>
      <c r="BT20" s="41"/>
      <c r="BU20" s="41"/>
      <c r="BV20" s="41"/>
    </row>
    <row r="21" spans="1:74" ht="14.1" customHeight="1">
      <c r="A21" s="30"/>
      <c r="B21" s="178" t="s">
        <v>2</v>
      </c>
      <c r="C21" s="179" t="s">
        <v>2</v>
      </c>
      <c r="D21" s="179" t="s">
        <v>2</v>
      </c>
      <c r="E21" s="179" t="s">
        <v>2</v>
      </c>
      <c r="F21" s="178" t="s">
        <v>2</v>
      </c>
      <c r="G21" s="178" t="s">
        <v>2</v>
      </c>
      <c r="H21" s="180" t="s">
        <v>2</v>
      </c>
      <c r="I21" s="178" t="s">
        <v>2</v>
      </c>
      <c r="J21" s="178" t="s">
        <v>2</v>
      </c>
      <c r="K21" s="179" t="s">
        <v>2</v>
      </c>
      <c r="L21" s="178" t="s">
        <v>2</v>
      </c>
      <c r="M21" s="178" t="s">
        <v>2</v>
      </c>
      <c r="N21" s="179" t="s">
        <v>2</v>
      </c>
      <c r="O21" s="178" t="s">
        <v>2</v>
      </c>
      <c r="P21" s="178" t="s">
        <v>2</v>
      </c>
      <c r="Q21" s="178" t="s">
        <v>2</v>
      </c>
      <c r="R21" s="206" t="s">
        <v>2</v>
      </c>
      <c r="S21" s="213" t="s">
        <v>2</v>
      </c>
      <c r="T21" s="54">
        <v>23</v>
      </c>
      <c r="U21" s="55">
        <v>24</v>
      </c>
      <c r="V21" s="177" t="s">
        <v>11</v>
      </c>
      <c r="W21" s="91" t="s">
        <v>1418</v>
      </c>
      <c r="X21" s="49" t="s">
        <v>317</v>
      </c>
      <c r="Y21" s="49" t="s">
        <v>1956</v>
      </c>
      <c r="Z21" s="49" t="s">
        <v>1956</v>
      </c>
      <c r="AA21" s="35" t="s">
        <v>640</v>
      </c>
      <c r="AB21" s="35" t="s">
        <v>1219</v>
      </c>
      <c r="AC21" s="154" t="s">
        <v>2327</v>
      </c>
      <c r="AD21" s="42" t="s">
        <v>2638</v>
      </c>
      <c r="AE21" s="57" t="s">
        <v>2294</v>
      </c>
      <c r="AF21" s="35" t="s">
        <v>910</v>
      </c>
      <c r="AG21" s="57" t="s">
        <v>2874</v>
      </c>
      <c r="AH21" s="57" t="s">
        <v>527</v>
      </c>
      <c r="AI21" s="81" t="s">
        <v>226</v>
      </c>
      <c r="AJ21" s="57" t="s">
        <v>642</v>
      </c>
      <c r="AK21" s="57"/>
      <c r="AL21" s="57"/>
      <c r="AM21" s="57" t="s">
        <v>642</v>
      </c>
      <c r="AN21" s="41"/>
      <c r="AO21" s="41"/>
      <c r="AP21" s="41"/>
      <c r="AQ21" s="41"/>
      <c r="AR21" s="41"/>
      <c r="AS21" s="41"/>
      <c r="AT21" s="41"/>
      <c r="AU21" s="41"/>
      <c r="AV21" s="41"/>
      <c r="AW21" s="41"/>
      <c r="AX21" s="41"/>
      <c r="AY21" s="41"/>
      <c r="AZ21" s="41"/>
      <c r="BA21" s="41"/>
      <c r="BB21" s="41"/>
      <c r="BC21" s="41"/>
      <c r="BD21" s="41"/>
      <c r="BE21" s="41"/>
      <c r="BF21" s="41"/>
      <c r="BG21" s="41"/>
      <c r="BH21" s="41"/>
      <c r="BI21" s="41"/>
      <c r="BJ21" s="41"/>
      <c r="BK21" s="41"/>
      <c r="BL21" s="41"/>
      <c r="BM21" s="41"/>
      <c r="BN21" s="41"/>
      <c r="BO21" s="41"/>
      <c r="BP21" s="41"/>
      <c r="BQ21" s="41"/>
      <c r="BR21" s="41"/>
      <c r="BS21" s="41"/>
      <c r="BT21" s="41"/>
      <c r="BU21" s="41"/>
      <c r="BV21" s="41"/>
    </row>
    <row r="22" spans="1:74" ht="14.1" customHeight="1">
      <c r="A22" s="30"/>
      <c r="B22" s="91" t="s">
        <v>1421</v>
      </c>
      <c r="C22" s="49" t="s">
        <v>2063</v>
      </c>
      <c r="D22" s="49" t="s">
        <v>2001</v>
      </c>
      <c r="E22" s="49" t="s">
        <v>1975</v>
      </c>
      <c r="F22" s="91" t="s">
        <v>535</v>
      </c>
      <c r="G22" s="91" t="s">
        <v>1252</v>
      </c>
      <c r="H22" s="182" t="s">
        <v>2293</v>
      </c>
      <c r="I22" s="91" t="s">
        <v>2639</v>
      </c>
      <c r="J22" s="91" t="s">
        <v>2295</v>
      </c>
      <c r="K22" s="91" t="s">
        <v>3171</v>
      </c>
      <c r="L22" s="91" t="s">
        <v>2849</v>
      </c>
      <c r="M22" s="91" t="s">
        <v>572</v>
      </c>
      <c r="N22" s="49" t="s">
        <v>67</v>
      </c>
      <c r="O22" s="91" t="s">
        <v>537</v>
      </c>
      <c r="Q22" s="91" t="s">
        <v>537</v>
      </c>
      <c r="R22" s="207" t="s">
        <v>537</v>
      </c>
      <c r="S22" s="214" t="s">
        <v>10</v>
      </c>
      <c r="T22" s="54">
        <v>25</v>
      </c>
      <c r="U22" s="55">
        <v>26</v>
      </c>
      <c r="V22" s="175" t="s">
        <v>261</v>
      </c>
      <c r="W22" s="172" t="s">
        <v>3</v>
      </c>
      <c r="X22" s="173" t="s">
        <v>3</v>
      </c>
      <c r="Y22" s="173" t="s">
        <v>3</v>
      </c>
      <c r="Z22" s="173" t="s">
        <v>3</v>
      </c>
      <c r="AA22" s="36" t="s">
        <v>3</v>
      </c>
      <c r="AB22" s="36" t="s">
        <v>3</v>
      </c>
      <c r="AC22" s="153" t="s">
        <v>3</v>
      </c>
      <c r="AD22" s="38" t="s">
        <v>3</v>
      </c>
      <c r="AE22" s="38" t="s">
        <v>3</v>
      </c>
      <c r="AF22" s="45" t="s">
        <v>3</v>
      </c>
      <c r="AG22" s="38" t="s">
        <v>3</v>
      </c>
      <c r="AH22" s="38" t="s">
        <v>3</v>
      </c>
      <c r="AI22" s="51" t="s">
        <v>3</v>
      </c>
      <c r="AJ22" s="38" t="s">
        <v>541</v>
      </c>
      <c r="AK22" s="38" t="s">
        <v>541</v>
      </c>
      <c r="AL22" s="38"/>
      <c r="AM22" s="38" t="s">
        <v>541</v>
      </c>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row>
    <row r="23" spans="1:74" ht="14.1" customHeight="1">
      <c r="A23" s="30"/>
      <c r="B23" s="91" t="s">
        <v>1420</v>
      </c>
      <c r="C23" s="49" t="s">
        <v>239</v>
      </c>
      <c r="D23" s="49" t="s">
        <v>2002</v>
      </c>
      <c r="E23" s="49" t="s">
        <v>1976</v>
      </c>
      <c r="F23" s="91" t="s">
        <v>538</v>
      </c>
      <c r="G23" s="91" t="s">
        <v>1253</v>
      </c>
      <c r="H23" s="182" t="s">
        <v>2294</v>
      </c>
      <c r="I23" s="91" t="s">
        <v>2640</v>
      </c>
      <c r="J23" s="91" t="s">
        <v>2296</v>
      </c>
      <c r="K23" s="91" t="s">
        <v>3172</v>
      </c>
      <c r="L23" s="91" t="s">
        <v>2850</v>
      </c>
      <c r="M23" s="91" t="s">
        <v>575</v>
      </c>
      <c r="N23" s="49" t="s">
        <v>293</v>
      </c>
      <c r="O23" s="91" t="s">
        <v>540</v>
      </c>
      <c r="Q23" s="91" t="s">
        <v>540</v>
      </c>
      <c r="R23" s="207" t="s">
        <v>540</v>
      </c>
      <c r="S23" s="214" t="s">
        <v>11</v>
      </c>
      <c r="T23" s="54">
        <v>27</v>
      </c>
      <c r="U23" s="55">
        <v>28</v>
      </c>
      <c r="V23" s="177" t="s">
        <v>10</v>
      </c>
      <c r="W23" s="91" t="s">
        <v>1423</v>
      </c>
      <c r="X23" s="49" t="s">
        <v>318</v>
      </c>
      <c r="Y23" s="49" t="s">
        <v>1957</v>
      </c>
      <c r="Z23" s="49" t="s">
        <v>1999</v>
      </c>
      <c r="AA23" s="35" t="s">
        <v>643</v>
      </c>
      <c r="AB23" s="35" t="s">
        <v>1220</v>
      </c>
      <c r="AC23" s="154" t="s">
        <v>2583</v>
      </c>
      <c r="AD23" s="42" t="s">
        <v>2617</v>
      </c>
      <c r="AE23" s="57" t="s">
        <v>2326</v>
      </c>
      <c r="AF23" s="35" t="s">
        <v>915</v>
      </c>
      <c r="AG23" s="57" t="s">
        <v>2875</v>
      </c>
      <c r="AH23" s="57" t="s">
        <v>684</v>
      </c>
      <c r="AI23" s="81" t="s">
        <v>223</v>
      </c>
      <c r="AJ23" s="57" t="s">
        <v>645</v>
      </c>
      <c r="AK23" s="57"/>
      <c r="AL23" s="57"/>
      <c r="AM23" s="57" t="s">
        <v>645</v>
      </c>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row>
    <row r="24" spans="1:74" ht="14.1" customHeight="1">
      <c r="A24" s="30"/>
      <c r="B24" s="172" t="s">
        <v>3</v>
      </c>
      <c r="C24" s="173" t="s">
        <v>3</v>
      </c>
      <c r="D24" s="173" t="s">
        <v>3</v>
      </c>
      <c r="E24" s="173" t="s">
        <v>3</v>
      </c>
      <c r="F24" s="172" t="s">
        <v>3</v>
      </c>
      <c r="G24" s="172" t="s">
        <v>3</v>
      </c>
      <c r="H24" s="176" t="s">
        <v>3</v>
      </c>
      <c r="I24" s="172" t="s">
        <v>3</v>
      </c>
      <c r="J24" s="172" t="s">
        <v>3</v>
      </c>
      <c r="K24" s="173" t="s">
        <v>3</v>
      </c>
      <c r="L24" s="172" t="s">
        <v>3</v>
      </c>
      <c r="M24" s="172" t="s">
        <v>3</v>
      </c>
      <c r="N24" s="173" t="s">
        <v>3</v>
      </c>
      <c r="O24" s="172" t="s">
        <v>541</v>
      </c>
      <c r="P24" s="172" t="s">
        <v>541</v>
      </c>
      <c r="Q24" s="172" t="s">
        <v>541</v>
      </c>
      <c r="R24" s="205" t="s">
        <v>541</v>
      </c>
      <c r="S24" s="212" t="s">
        <v>261</v>
      </c>
      <c r="T24" s="54">
        <v>29</v>
      </c>
      <c r="U24" s="55">
        <v>30</v>
      </c>
      <c r="V24" s="177" t="s">
        <v>11</v>
      </c>
      <c r="W24" s="91" t="s">
        <v>1422</v>
      </c>
      <c r="X24" s="49" t="s">
        <v>319</v>
      </c>
      <c r="Y24" s="49" t="s">
        <v>1958</v>
      </c>
      <c r="Z24" s="49" t="s">
        <v>2000</v>
      </c>
      <c r="AA24" s="35" t="s">
        <v>646</v>
      </c>
      <c r="AB24" s="35" t="s">
        <v>1221</v>
      </c>
      <c r="AC24" s="154" t="s">
        <v>2328</v>
      </c>
      <c r="AD24" s="42" t="s">
        <v>2618</v>
      </c>
      <c r="AE24" s="57" t="s">
        <v>2327</v>
      </c>
      <c r="AF24" s="35" t="s">
        <v>916</v>
      </c>
      <c r="AG24" s="57" t="s">
        <v>2876</v>
      </c>
      <c r="AH24" s="57" t="s">
        <v>687</v>
      </c>
      <c r="AI24" s="81" t="s">
        <v>225</v>
      </c>
      <c r="AJ24" s="57" t="s">
        <v>648</v>
      </c>
      <c r="AK24" s="57"/>
      <c r="AL24" s="57"/>
      <c r="AM24" s="57" t="s">
        <v>648</v>
      </c>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row>
    <row r="25" spans="1:74" ht="14.1" customHeight="1">
      <c r="A25" s="30"/>
      <c r="B25" s="91" t="s">
        <v>1455</v>
      </c>
      <c r="C25" s="49" t="s">
        <v>294</v>
      </c>
      <c r="D25" s="49" t="s">
        <v>2003</v>
      </c>
      <c r="E25" s="49" t="s">
        <v>1959</v>
      </c>
      <c r="F25" s="91" t="s">
        <v>542</v>
      </c>
      <c r="G25" s="91" t="s">
        <v>1248</v>
      </c>
      <c r="H25" s="182" t="s">
        <v>2295</v>
      </c>
      <c r="I25" s="91" t="s">
        <v>2619</v>
      </c>
      <c r="J25" s="91" t="s">
        <v>2332</v>
      </c>
      <c r="K25" s="91" t="s">
        <v>3173</v>
      </c>
      <c r="L25" s="91" t="s">
        <v>2851</v>
      </c>
      <c r="M25" s="91" t="s">
        <v>650</v>
      </c>
      <c r="N25" s="49" t="s">
        <v>171</v>
      </c>
      <c r="O25" s="91" t="s">
        <v>544</v>
      </c>
      <c r="Q25" s="91" t="s">
        <v>544</v>
      </c>
      <c r="R25" s="207" t="s">
        <v>544</v>
      </c>
      <c r="S25" s="214" t="s">
        <v>10</v>
      </c>
      <c r="T25" s="54">
        <v>31</v>
      </c>
      <c r="U25" s="55">
        <v>32</v>
      </c>
      <c r="V25" s="181" t="s">
        <v>2</v>
      </c>
      <c r="W25" s="178" t="s">
        <v>2</v>
      </c>
      <c r="X25" s="179" t="s">
        <v>2</v>
      </c>
      <c r="Y25" s="179" t="s">
        <v>2</v>
      </c>
      <c r="Z25" s="179" t="s">
        <v>2</v>
      </c>
      <c r="AA25" s="32" t="s">
        <v>2</v>
      </c>
      <c r="AB25" s="32" t="s">
        <v>2</v>
      </c>
      <c r="AC25" s="155" t="s">
        <v>2</v>
      </c>
      <c r="AD25" s="37" t="s">
        <v>2</v>
      </c>
      <c r="AE25" s="37" t="s">
        <v>2</v>
      </c>
      <c r="AF25" s="47" t="s">
        <v>2</v>
      </c>
      <c r="AG25" s="37" t="s">
        <v>2</v>
      </c>
      <c r="AH25" s="37" t="s">
        <v>2</v>
      </c>
      <c r="AI25" s="50" t="s">
        <v>2</v>
      </c>
      <c r="AJ25" s="37" t="s">
        <v>2</v>
      </c>
      <c r="AK25" s="37" t="s">
        <v>2</v>
      </c>
      <c r="AL25" s="37"/>
      <c r="AM25" s="37" t="s">
        <v>2</v>
      </c>
      <c r="AN25" s="41"/>
      <c r="AO25" s="41"/>
      <c r="AP25" s="41"/>
      <c r="AQ25" s="41"/>
      <c r="AR25" s="41"/>
      <c r="AS25" s="41"/>
      <c r="AT25" s="41"/>
      <c r="AU25" s="41"/>
      <c r="AV25" s="41"/>
      <c r="AW25" s="41"/>
      <c r="AX25" s="41"/>
      <c r="AY25" s="41"/>
      <c r="AZ25" s="41"/>
      <c r="BA25" s="41"/>
      <c r="BB25" s="41"/>
      <c r="BC25" s="41"/>
      <c r="BD25" s="41"/>
      <c r="BE25" s="41"/>
      <c r="BF25" s="41"/>
      <c r="BG25" s="41"/>
      <c r="BH25" s="41"/>
      <c r="BI25" s="41"/>
      <c r="BJ25" s="41"/>
      <c r="BK25" s="41"/>
      <c r="BL25" s="41"/>
      <c r="BM25" s="41"/>
      <c r="BN25" s="41"/>
      <c r="BO25" s="41"/>
      <c r="BP25" s="41"/>
      <c r="BQ25" s="41"/>
      <c r="BR25" s="41"/>
      <c r="BS25" s="41"/>
      <c r="BT25" s="41"/>
      <c r="BU25" s="41"/>
      <c r="BV25" s="41"/>
    </row>
    <row r="26" spans="1:74" ht="14.1" customHeight="1">
      <c r="A26" s="30"/>
      <c r="B26" s="91" t="s">
        <v>1454</v>
      </c>
      <c r="C26" s="49" t="s">
        <v>295</v>
      </c>
      <c r="D26" s="49" t="s">
        <v>2004</v>
      </c>
      <c r="E26" s="49" t="s">
        <v>1960</v>
      </c>
      <c r="F26" s="91" t="s">
        <v>545</v>
      </c>
      <c r="G26" s="91" t="s">
        <v>1249</v>
      </c>
      <c r="H26" s="182" t="s">
        <v>2296</v>
      </c>
      <c r="I26" s="91" t="s">
        <v>2620</v>
      </c>
      <c r="J26" s="91" t="s">
        <v>2333</v>
      </c>
      <c r="K26" s="91" t="s">
        <v>3174</v>
      </c>
      <c r="L26" s="91" t="s">
        <v>2852</v>
      </c>
      <c r="M26" s="91" t="s">
        <v>653</v>
      </c>
      <c r="N26" s="49" t="s">
        <v>173</v>
      </c>
      <c r="O26" s="91" t="s">
        <v>547</v>
      </c>
      <c r="Q26" s="91" t="s">
        <v>547</v>
      </c>
      <c r="R26" s="207" t="s">
        <v>547</v>
      </c>
      <c r="S26" s="214" t="s">
        <v>11</v>
      </c>
      <c r="T26" s="54">
        <v>33</v>
      </c>
      <c r="U26" s="55">
        <v>34</v>
      </c>
      <c r="V26" s="177" t="s">
        <v>10</v>
      </c>
      <c r="W26" s="91" t="s">
        <v>2069</v>
      </c>
      <c r="X26" s="49" t="s">
        <v>320</v>
      </c>
      <c r="Y26" s="49" t="s">
        <v>1959</v>
      </c>
      <c r="Z26" s="49" t="s">
        <v>2019</v>
      </c>
      <c r="AA26" s="35" t="s">
        <v>649</v>
      </c>
      <c r="AB26" s="35" t="s">
        <v>1222</v>
      </c>
      <c r="AC26" s="154" t="s">
        <v>2329</v>
      </c>
      <c r="AD26" s="42" t="s">
        <v>2623</v>
      </c>
      <c r="AE26" s="57" t="s">
        <v>2583</v>
      </c>
      <c r="AF26" s="35" t="s">
        <v>911</v>
      </c>
      <c r="AG26" s="57" t="s">
        <v>2877</v>
      </c>
      <c r="AH26" s="57" t="s">
        <v>638</v>
      </c>
      <c r="AI26" s="81" t="s">
        <v>228</v>
      </c>
      <c r="AJ26" s="57" t="s">
        <v>651</v>
      </c>
      <c r="AK26" s="57"/>
      <c r="AL26" s="57"/>
      <c r="AM26" s="57" t="s">
        <v>651</v>
      </c>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row>
    <row r="27" spans="1:74" ht="14.1" customHeight="1">
      <c r="A27" s="30"/>
      <c r="B27" s="178" t="s">
        <v>2</v>
      </c>
      <c r="C27" s="179" t="s">
        <v>2</v>
      </c>
      <c r="D27" s="179" t="s">
        <v>2</v>
      </c>
      <c r="E27" s="179" t="s">
        <v>2</v>
      </c>
      <c r="F27" s="178" t="s">
        <v>2</v>
      </c>
      <c r="G27" s="178" t="s">
        <v>2</v>
      </c>
      <c r="H27" s="180" t="s">
        <v>2</v>
      </c>
      <c r="I27" s="178" t="s">
        <v>2</v>
      </c>
      <c r="J27" s="178" t="s">
        <v>2</v>
      </c>
      <c r="K27" s="179" t="s">
        <v>2</v>
      </c>
      <c r="L27" s="178" t="s">
        <v>2</v>
      </c>
      <c r="M27" s="178" t="s">
        <v>2</v>
      </c>
      <c r="N27" s="179" t="s">
        <v>2</v>
      </c>
      <c r="O27" s="178" t="s">
        <v>2</v>
      </c>
      <c r="P27" s="178" t="s">
        <v>2</v>
      </c>
      <c r="Q27" s="178" t="s">
        <v>2</v>
      </c>
      <c r="R27" s="206" t="s">
        <v>2</v>
      </c>
      <c r="S27" s="213" t="s">
        <v>2</v>
      </c>
      <c r="T27" s="54">
        <v>35</v>
      </c>
      <c r="U27" s="55">
        <v>36</v>
      </c>
      <c r="V27" s="177" t="s">
        <v>11</v>
      </c>
      <c r="W27" s="91" t="s">
        <v>1448</v>
      </c>
      <c r="X27" s="49" t="s">
        <v>321</v>
      </c>
      <c r="Y27" s="49" t="s">
        <v>1960</v>
      </c>
      <c r="Z27" s="49" t="s">
        <v>2020</v>
      </c>
      <c r="AA27" s="35" t="s">
        <v>652</v>
      </c>
      <c r="AB27" s="35" t="s">
        <v>1223</v>
      </c>
      <c r="AC27" s="154" t="s">
        <v>2330</v>
      </c>
      <c r="AD27" s="42" t="s">
        <v>2624</v>
      </c>
      <c r="AE27" s="57" t="s">
        <v>2328</v>
      </c>
      <c r="AF27" s="35" t="s">
        <v>912</v>
      </c>
      <c r="AG27" s="57" t="s">
        <v>2878</v>
      </c>
      <c r="AH27" s="57" t="s">
        <v>641</v>
      </c>
      <c r="AI27" s="81" t="s">
        <v>230</v>
      </c>
      <c r="AJ27" s="57" t="s">
        <v>654</v>
      </c>
      <c r="AK27" s="57"/>
      <c r="AL27" s="57"/>
      <c r="AM27" s="57" t="s">
        <v>654</v>
      </c>
      <c r="AN27" s="41"/>
      <c r="AO27" s="41"/>
      <c r="AP27" s="41"/>
      <c r="AQ27" s="41"/>
      <c r="AR27" s="41"/>
      <c r="AS27" s="41"/>
      <c r="AT27" s="41"/>
      <c r="AU27" s="41"/>
      <c r="AV27" s="41"/>
      <c r="AW27" s="41"/>
      <c r="AX27" s="41"/>
      <c r="AY27" s="41"/>
      <c r="AZ27" s="41"/>
      <c r="BA27" s="41"/>
      <c r="BB27" s="41"/>
      <c r="BC27" s="41"/>
      <c r="BD27" s="41"/>
      <c r="BE27" s="41"/>
      <c r="BF27" s="41"/>
      <c r="BG27" s="41"/>
      <c r="BH27" s="41"/>
      <c r="BI27" s="41"/>
      <c r="BJ27" s="41"/>
      <c r="BK27" s="41"/>
      <c r="BL27" s="41"/>
      <c r="BM27" s="41"/>
      <c r="BN27" s="41"/>
      <c r="BO27" s="41"/>
      <c r="BP27" s="41"/>
      <c r="BQ27" s="41"/>
      <c r="BR27" s="41"/>
      <c r="BS27" s="41"/>
      <c r="BT27" s="41"/>
      <c r="BU27" s="41"/>
      <c r="BV27" s="41"/>
    </row>
    <row r="28" spans="1:74" ht="14.1" customHeight="1">
      <c r="A28" s="30"/>
      <c r="B28" s="91" t="s">
        <v>1429</v>
      </c>
      <c r="C28" s="49" t="s">
        <v>2064</v>
      </c>
      <c r="D28" s="49" t="s">
        <v>2005</v>
      </c>
      <c r="E28" s="49" t="s">
        <v>1965</v>
      </c>
      <c r="F28" s="91" t="s">
        <v>548</v>
      </c>
      <c r="G28" s="91" t="s">
        <v>1250</v>
      </c>
      <c r="H28" s="184" t="s">
        <v>2297</v>
      </c>
      <c r="I28" s="93" t="s">
        <v>2629</v>
      </c>
      <c r="J28" s="93" t="s">
        <v>2300</v>
      </c>
      <c r="K28" s="91" t="s">
        <v>3175</v>
      </c>
      <c r="L28" s="93" t="s">
        <v>2853</v>
      </c>
      <c r="M28" s="91" t="s">
        <v>644</v>
      </c>
      <c r="N28" s="49" t="s">
        <v>172</v>
      </c>
      <c r="O28" s="91" t="s">
        <v>550</v>
      </c>
      <c r="Q28" s="91" t="s">
        <v>550</v>
      </c>
      <c r="R28" s="207" t="s">
        <v>550</v>
      </c>
      <c r="S28" s="214" t="s">
        <v>10</v>
      </c>
      <c r="T28" s="54">
        <v>37</v>
      </c>
      <c r="U28" s="55">
        <v>38</v>
      </c>
      <c r="V28" s="175" t="s">
        <v>9</v>
      </c>
      <c r="W28" s="172" t="s">
        <v>1474</v>
      </c>
      <c r="X28" s="173" t="s">
        <v>554</v>
      </c>
      <c r="Y28" s="173" t="s">
        <v>555</v>
      </c>
      <c r="Z28" s="173" t="s">
        <v>555</v>
      </c>
      <c r="AA28" s="36" t="s">
        <v>556</v>
      </c>
      <c r="AB28" s="36" t="s">
        <v>556</v>
      </c>
      <c r="AC28" s="153" t="s">
        <v>2331</v>
      </c>
      <c r="AD28" s="38" t="s">
        <v>2742</v>
      </c>
      <c r="AE28" s="38" t="s">
        <v>2331</v>
      </c>
      <c r="AF28" s="45" t="s">
        <v>557</v>
      </c>
      <c r="AG28" s="38" t="s">
        <v>2742</v>
      </c>
      <c r="AH28" s="38" t="s">
        <v>557</v>
      </c>
      <c r="AI28" s="51" t="s">
        <v>297</v>
      </c>
      <c r="AJ28" s="38" t="s">
        <v>297</v>
      </c>
      <c r="AK28" s="38" t="s">
        <v>297</v>
      </c>
      <c r="AL28" s="38"/>
      <c r="AM28" s="38" t="s">
        <v>297</v>
      </c>
      <c r="AN28" s="41"/>
      <c r="AO28" s="41"/>
      <c r="AP28" s="41"/>
      <c r="AQ28" s="41"/>
      <c r="AR28" s="41"/>
      <c r="AS28" s="41"/>
      <c r="AT28" s="41"/>
      <c r="AU28" s="41"/>
      <c r="AV28" s="41"/>
      <c r="AW28" s="41"/>
      <c r="AX28" s="41"/>
      <c r="AY28" s="41"/>
      <c r="AZ28" s="41"/>
      <c r="BA28" s="41"/>
      <c r="BB28" s="41"/>
      <c r="BC28" s="41"/>
      <c r="BD28" s="41"/>
      <c r="BE28" s="41"/>
      <c r="BF28" s="41"/>
      <c r="BG28" s="41"/>
      <c r="BH28" s="41"/>
      <c r="BI28" s="41"/>
      <c r="BJ28" s="41"/>
      <c r="BK28" s="41"/>
      <c r="BL28" s="41"/>
      <c r="BM28" s="41"/>
      <c r="BN28" s="41"/>
      <c r="BO28" s="41"/>
      <c r="BP28" s="41"/>
      <c r="BQ28" s="41"/>
      <c r="BR28" s="41"/>
      <c r="BS28" s="41"/>
      <c r="BT28" s="41"/>
      <c r="BU28" s="41"/>
      <c r="BV28" s="41"/>
    </row>
    <row r="29" spans="1:74" ht="14.1" customHeight="1">
      <c r="A29" s="30"/>
      <c r="B29" s="91" t="s">
        <v>1428</v>
      </c>
      <c r="C29" s="49" t="s">
        <v>296</v>
      </c>
      <c r="D29" s="49" t="s">
        <v>2006</v>
      </c>
      <c r="E29" s="49" t="s">
        <v>1966</v>
      </c>
      <c r="F29" s="91" t="s">
        <v>551</v>
      </c>
      <c r="G29" s="91" t="s">
        <v>1251</v>
      </c>
      <c r="H29" s="184" t="s">
        <v>2298</v>
      </c>
      <c r="I29" s="93" t="s">
        <v>2630</v>
      </c>
      <c r="J29" s="93" t="s">
        <v>2301</v>
      </c>
      <c r="K29" s="91" t="s">
        <v>3176</v>
      </c>
      <c r="L29" s="93" t="s">
        <v>2854</v>
      </c>
      <c r="M29" s="91" t="s">
        <v>647</v>
      </c>
      <c r="N29" s="49" t="s">
        <v>174</v>
      </c>
      <c r="O29" s="91" t="s">
        <v>553</v>
      </c>
      <c r="Q29" s="91" t="s">
        <v>553</v>
      </c>
      <c r="R29" s="207" t="s">
        <v>553</v>
      </c>
      <c r="S29" s="214" t="s">
        <v>11</v>
      </c>
      <c r="T29" s="54">
        <v>39</v>
      </c>
      <c r="U29" s="55">
        <v>40</v>
      </c>
      <c r="V29" s="177" t="s">
        <v>10</v>
      </c>
      <c r="W29" s="91" t="s">
        <v>1450</v>
      </c>
      <c r="X29" s="49" t="s">
        <v>322</v>
      </c>
      <c r="Y29" s="48" t="s">
        <v>1961</v>
      </c>
      <c r="Z29" s="185" t="s">
        <v>1973</v>
      </c>
      <c r="AA29" s="35" t="s">
        <v>655</v>
      </c>
      <c r="AB29" s="35" t="s">
        <v>1226</v>
      </c>
      <c r="AC29" s="154" t="s">
        <v>2332</v>
      </c>
      <c r="AD29" s="42" t="s">
        <v>2621</v>
      </c>
      <c r="AE29" s="57" t="s">
        <v>2329</v>
      </c>
      <c r="AF29" s="35" t="s">
        <v>913</v>
      </c>
      <c r="AG29" s="57" t="s">
        <v>2879</v>
      </c>
      <c r="AH29" s="57" t="s">
        <v>530</v>
      </c>
      <c r="AI29" s="81" t="s">
        <v>227</v>
      </c>
      <c r="AJ29" s="57" t="s">
        <v>657</v>
      </c>
      <c r="AK29" s="57"/>
      <c r="AL29" s="57"/>
      <c r="AM29" s="57" t="s">
        <v>657</v>
      </c>
      <c r="AN29" s="41"/>
      <c r="AO29" s="41"/>
      <c r="AP29" s="41"/>
      <c r="AQ29" s="41"/>
      <c r="AR29" s="41"/>
      <c r="AS29" s="41"/>
      <c r="AT29" s="41"/>
      <c r="AU29" s="41"/>
      <c r="AV29" s="41"/>
      <c r="AW29" s="41"/>
      <c r="AX29" s="41"/>
      <c r="AY29" s="41"/>
      <c r="AZ29" s="41"/>
      <c r="BA29" s="41"/>
      <c r="BB29" s="41"/>
      <c r="BC29" s="41"/>
      <c r="BD29" s="41"/>
      <c r="BE29" s="41"/>
      <c r="BF29" s="41"/>
      <c r="BG29" s="41"/>
      <c r="BH29" s="41"/>
      <c r="BI29" s="41"/>
      <c r="BJ29" s="41"/>
      <c r="BK29" s="41"/>
      <c r="BL29" s="41"/>
      <c r="BM29" s="41"/>
      <c r="BN29" s="41"/>
      <c r="BO29" s="41"/>
      <c r="BP29" s="41"/>
      <c r="BQ29" s="41"/>
      <c r="BR29" s="41"/>
      <c r="BS29" s="41"/>
      <c r="BT29" s="41"/>
      <c r="BU29" s="41"/>
      <c r="BV29" s="41"/>
    </row>
    <row r="30" spans="1:74" ht="14.1" customHeight="1">
      <c r="A30" s="30"/>
      <c r="B30" s="172" t="s">
        <v>1474</v>
      </c>
      <c r="C30" s="173" t="s">
        <v>554</v>
      </c>
      <c r="D30" s="173" t="s">
        <v>555</v>
      </c>
      <c r="E30" s="173" t="s">
        <v>555</v>
      </c>
      <c r="F30" s="172" t="s">
        <v>556</v>
      </c>
      <c r="G30" s="172" t="s">
        <v>556</v>
      </c>
      <c r="H30" s="176" t="s">
        <v>2299</v>
      </c>
      <c r="I30" s="172" t="s">
        <v>2741</v>
      </c>
      <c r="J30" s="172" t="s">
        <v>2299</v>
      </c>
      <c r="K30" s="173" t="s">
        <v>557</v>
      </c>
      <c r="L30" s="172" t="s">
        <v>2741</v>
      </c>
      <c r="M30" s="172" t="s">
        <v>557</v>
      </c>
      <c r="N30" s="173" t="s">
        <v>297</v>
      </c>
      <c r="O30" s="172" t="s">
        <v>297</v>
      </c>
      <c r="P30" s="172" t="s">
        <v>297</v>
      </c>
      <c r="Q30" s="172" t="s">
        <v>297</v>
      </c>
      <c r="R30" s="205" t="s">
        <v>297</v>
      </c>
      <c r="S30" s="212" t="s">
        <v>9</v>
      </c>
      <c r="T30" s="54">
        <v>41</v>
      </c>
      <c r="U30" s="55">
        <v>42</v>
      </c>
      <c r="V30" s="177" t="s">
        <v>11</v>
      </c>
      <c r="W30" s="91" t="s">
        <v>1449</v>
      </c>
      <c r="X30" s="49" t="s">
        <v>323</v>
      </c>
      <c r="Y30" s="48" t="s">
        <v>1962</v>
      </c>
      <c r="Z30" s="185" t="s">
        <v>1974</v>
      </c>
      <c r="AA30" s="35" t="s">
        <v>658</v>
      </c>
      <c r="AB30" s="35" t="s">
        <v>1227</v>
      </c>
      <c r="AC30" s="154" t="s">
        <v>2333</v>
      </c>
      <c r="AD30" s="42" t="s">
        <v>2622</v>
      </c>
      <c r="AE30" s="57" t="s">
        <v>2330</v>
      </c>
      <c r="AF30" s="35" t="s">
        <v>914</v>
      </c>
      <c r="AG30" s="57" t="s">
        <v>2880</v>
      </c>
      <c r="AH30" s="57" t="s">
        <v>533</v>
      </c>
      <c r="AI30" s="81" t="s">
        <v>229</v>
      </c>
      <c r="AJ30" s="57" t="s">
        <v>660</v>
      </c>
      <c r="AK30" s="57"/>
      <c r="AL30" s="57"/>
      <c r="AM30" s="57" t="s">
        <v>660</v>
      </c>
      <c r="AN30" s="41"/>
      <c r="AO30" s="41"/>
      <c r="AP30" s="41"/>
      <c r="AQ30" s="41"/>
      <c r="AR30" s="41"/>
      <c r="AS30" s="41"/>
      <c r="AT30" s="41"/>
      <c r="AU30" s="41"/>
      <c r="AV30" s="41"/>
      <c r="AW30" s="41"/>
      <c r="AX30" s="41"/>
      <c r="AY30" s="41"/>
      <c r="AZ30" s="41"/>
      <c r="BA30" s="41"/>
      <c r="BB30" s="41"/>
      <c r="BC30" s="41"/>
      <c r="BD30" s="41"/>
      <c r="BE30" s="41"/>
      <c r="BF30" s="41"/>
      <c r="BG30" s="41"/>
      <c r="BH30" s="41"/>
      <c r="BI30" s="41"/>
      <c r="BJ30" s="41"/>
      <c r="BK30" s="41"/>
      <c r="BL30" s="41"/>
      <c r="BM30" s="41"/>
      <c r="BN30" s="41"/>
      <c r="BO30" s="41"/>
      <c r="BP30" s="41"/>
      <c r="BQ30" s="41"/>
      <c r="BR30" s="41"/>
      <c r="BS30" s="41"/>
      <c r="BT30" s="41"/>
      <c r="BU30" s="41"/>
      <c r="BV30" s="41"/>
    </row>
    <row r="31" spans="1:74" ht="14.1" customHeight="1">
      <c r="A31" s="30"/>
      <c r="B31" s="91" t="s">
        <v>1452</v>
      </c>
      <c r="C31" s="49" t="s">
        <v>298</v>
      </c>
      <c r="D31" s="49" t="s">
        <v>2007</v>
      </c>
      <c r="E31" s="49" t="s">
        <v>2007</v>
      </c>
      <c r="F31" s="91" t="s">
        <v>558</v>
      </c>
      <c r="G31" s="91" t="s">
        <v>1258</v>
      </c>
      <c r="H31" s="184" t="s">
        <v>2300</v>
      </c>
      <c r="I31" s="93" t="s">
        <v>2625</v>
      </c>
      <c r="J31" s="93" t="s">
        <v>2334</v>
      </c>
      <c r="K31" s="91" t="s">
        <v>3177</v>
      </c>
      <c r="L31" s="93" t="s">
        <v>2855</v>
      </c>
      <c r="M31" s="91" t="s">
        <v>666</v>
      </c>
      <c r="N31" s="49" t="s">
        <v>175</v>
      </c>
      <c r="O31" s="91" t="s">
        <v>560</v>
      </c>
      <c r="Q31" s="91" t="s">
        <v>560</v>
      </c>
      <c r="R31" s="207" t="s">
        <v>560</v>
      </c>
      <c r="S31" s="214" t="s">
        <v>10</v>
      </c>
      <c r="T31" s="54">
        <v>43</v>
      </c>
      <c r="U31" s="55">
        <v>44</v>
      </c>
      <c r="V31" s="181" t="s">
        <v>2</v>
      </c>
      <c r="W31" s="178" t="s">
        <v>2</v>
      </c>
      <c r="X31" s="179" t="s">
        <v>2</v>
      </c>
      <c r="Y31" s="179" t="s">
        <v>2</v>
      </c>
      <c r="Z31" s="179" t="s">
        <v>2</v>
      </c>
      <c r="AA31" s="32" t="s">
        <v>2</v>
      </c>
      <c r="AB31" s="32" t="s">
        <v>2</v>
      </c>
      <c r="AC31" s="155" t="s">
        <v>2</v>
      </c>
      <c r="AD31" s="37" t="s">
        <v>2</v>
      </c>
      <c r="AE31" s="37" t="s">
        <v>2</v>
      </c>
      <c r="AF31" s="47" t="s">
        <v>2</v>
      </c>
      <c r="AG31" s="37" t="s">
        <v>2</v>
      </c>
      <c r="AH31" s="37" t="s">
        <v>2</v>
      </c>
      <c r="AI31" s="50" t="s">
        <v>2</v>
      </c>
      <c r="AJ31" s="37" t="s">
        <v>2</v>
      </c>
      <c r="AK31" s="37" t="s">
        <v>2</v>
      </c>
      <c r="AL31" s="37"/>
      <c r="AM31" s="37" t="s">
        <v>2</v>
      </c>
      <c r="AN31" s="41"/>
      <c r="AO31" s="41"/>
      <c r="AP31" s="41"/>
      <c r="AQ31" s="41"/>
      <c r="AR31" s="41"/>
      <c r="AS31" s="41"/>
      <c r="AT31" s="41"/>
      <c r="AU31" s="41"/>
      <c r="AV31" s="41"/>
      <c r="AW31" s="41"/>
      <c r="AX31" s="41"/>
      <c r="AY31" s="41"/>
      <c r="AZ31" s="41"/>
      <c r="BA31" s="41"/>
      <c r="BB31" s="41"/>
      <c r="BC31" s="41"/>
      <c r="BD31" s="41"/>
      <c r="BE31" s="41"/>
      <c r="BF31" s="41"/>
      <c r="BG31" s="41"/>
      <c r="BH31" s="41"/>
      <c r="BI31" s="41"/>
      <c r="BJ31" s="41"/>
      <c r="BK31" s="41"/>
      <c r="BL31" s="41"/>
      <c r="BM31" s="41"/>
      <c r="BN31" s="41"/>
      <c r="BO31" s="41"/>
      <c r="BP31" s="41"/>
      <c r="BQ31" s="41"/>
      <c r="BR31" s="41"/>
      <c r="BS31" s="41"/>
      <c r="BT31" s="41"/>
      <c r="BU31" s="41"/>
      <c r="BV31" s="41"/>
    </row>
    <row r="32" spans="1:74" ht="14.1" customHeight="1">
      <c r="A32" s="30"/>
      <c r="B32" s="91" t="s">
        <v>1451</v>
      </c>
      <c r="C32" s="49" t="s">
        <v>299</v>
      </c>
      <c r="D32" s="49" t="s">
        <v>2008</v>
      </c>
      <c r="E32" s="49" t="s">
        <v>2008</v>
      </c>
      <c r="F32" s="91" t="s">
        <v>561</v>
      </c>
      <c r="G32" s="91" t="s">
        <v>1259</v>
      </c>
      <c r="H32" s="184" t="s">
        <v>2301</v>
      </c>
      <c r="I32" s="93" t="s">
        <v>2626</v>
      </c>
      <c r="J32" s="93" t="s">
        <v>2335</v>
      </c>
      <c r="K32" s="91" t="s">
        <v>3178</v>
      </c>
      <c r="L32" s="93" t="s">
        <v>2856</v>
      </c>
      <c r="M32" s="91" t="s">
        <v>669</v>
      </c>
      <c r="N32" s="49" t="s">
        <v>176</v>
      </c>
      <c r="O32" s="91" t="s">
        <v>563</v>
      </c>
      <c r="Q32" s="91" t="s">
        <v>563</v>
      </c>
      <c r="R32" s="207" t="s">
        <v>563</v>
      </c>
      <c r="S32" s="214" t="s">
        <v>11</v>
      </c>
      <c r="T32" s="54">
        <v>45</v>
      </c>
      <c r="U32" s="55">
        <v>46</v>
      </c>
      <c r="V32" s="183" t="s">
        <v>30</v>
      </c>
      <c r="W32" s="93" t="s">
        <v>1435</v>
      </c>
      <c r="X32" s="48" t="s">
        <v>2050</v>
      </c>
      <c r="Y32" s="48" t="s">
        <v>1963</v>
      </c>
      <c r="Z32" s="48" t="s">
        <v>1963</v>
      </c>
      <c r="AA32" s="34" t="s">
        <v>661</v>
      </c>
      <c r="AB32" s="34" t="s">
        <v>1214</v>
      </c>
      <c r="AC32" s="158" t="s">
        <v>2334</v>
      </c>
      <c r="AD32" s="223" t="s">
        <v>2627</v>
      </c>
      <c r="AE32" s="82" t="s">
        <v>2324</v>
      </c>
      <c r="AF32" s="34" t="s">
        <v>905</v>
      </c>
      <c r="AG32" s="82" t="s">
        <v>2881</v>
      </c>
      <c r="AH32" s="82" t="s">
        <v>605</v>
      </c>
      <c r="AI32" s="83" t="s">
        <v>324</v>
      </c>
      <c r="AJ32" s="82" t="s">
        <v>2591</v>
      </c>
      <c r="AK32" s="82"/>
      <c r="AL32" s="82"/>
      <c r="AM32" s="82" t="s">
        <v>1760</v>
      </c>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c r="BN32" s="41"/>
      <c r="BO32" s="41"/>
      <c r="BP32" s="41"/>
      <c r="BQ32" s="41"/>
      <c r="BR32" s="41"/>
      <c r="BS32" s="41"/>
      <c r="BT32" s="41"/>
      <c r="BU32" s="41"/>
      <c r="BV32" s="41"/>
    </row>
    <row r="33" spans="1:74" ht="14.1" customHeight="1">
      <c r="A33" s="30"/>
      <c r="B33" s="178" t="s">
        <v>2</v>
      </c>
      <c r="C33" s="179" t="s">
        <v>2</v>
      </c>
      <c r="D33" s="179" t="s">
        <v>2</v>
      </c>
      <c r="E33" s="179" t="s">
        <v>2</v>
      </c>
      <c r="F33" s="178" t="s">
        <v>2</v>
      </c>
      <c r="G33" s="178" t="s">
        <v>2</v>
      </c>
      <c r="H33" s="180" t="s">
        <v>2</v>
      </c>
      <c r="I33" s="178" t="s">
        <v>2</v>
      </c>
      <c r="J33" s="178" t="s">
        <v>2</v>
      </c>
      <c r="K33" s="179" t="s">
        <v>2</v>
      </c>
      <c r="L33" s="178" t="s">
        <v>2</v>
      </c>
      <c r="M33" s="178" t="s">
        <v>2</v>
      </c>
      <c r="N33" s="179" t="s">
        <v>2</v>
      </c>
      <c r="O33" s="178" t="s">
        <v>2</v>
      </c>
      <c r="P33" s="178" t="s">
        <v>2</v>
      </c>
      <c r="Q33" s="178" t="s">
        <v>2</v>
      </c>
      <c r="R33" s="206" t="s">
        <v>2</v>
      </c>
      <c r="S33" s="213" t="s">
        <v>2</v>
      </c>
      <c r="T33" s="54">
        <v>47</v>
      </c>
      <c r="U33" s="55">
        <v>48</v>
      </c>
      <c r="V33" s="183" t="s">
        <v>31</v>
      </c>
      <c r="W33" s="93" t="s">
        <v>1434</v>
      </c>
      <c r="X33" s="48" t="s">
        <v>2051</v>
      </c>
      <c r="Y33" s="48" t="s">
        <v>1964</v>
      </c>
      <c r="Z33" s="48" t="s">
        <v>1964</v>
      </c>
      <c r="AA33" s="34" t="s">
        <v>663</v>
      </c>
      <c r="AB33" s="34" t="s">
        <v>1215</v>
      </c>
      <c r="AC33" s="158" t="s">
        <v>2335</v>
      </c>
      <c r="AD33" s="223" t="s">
        <v>2628</v>
      </c>
      <c r="AE33" s="82" t="s">
        <v>2325</v>
      </c>
      <c r="AF33" s="34" t="s">
        <v>906</v>
      </c>
      <c r="AG33" s="82" t="s">
        <v>2882</v>
      </c>
      <c r="AH33" s="82" t="s">
        <v>607</v>
      </c>
      <c r="AI33" s="83" t="s">
        <v>325</v>
      </c>
      <c r="AJ33" s="82" t="s">
        <v>2592</v>
      </c>
      <c r="AK33" s="82"/>
      <c r="AL33" s="82"/>
      <c r="AM33" s="82" t="s">
        <v>1761</v>
      </c>
      <c r="AN33" s="41"/>
      <c r="AO33" s="41"/>
      <c r="AP33" s="41"/>
      <c r="AQ33" s="41"/>
      <c r="AR33" s="41"/>
      <c r="AS33" s="41"/>
      <c r="AT33" s="41"/>
      <c r="AU33" s="41"/>
      <c r="AV33" s="41"/>
      <c r="AW33" s="41"/>
      <c r="AX33" s="41"/>
      <c r="AY33" s="41"/>
      <c r="AZ33" s="41"/>
      <c r="BA33" s="41"/>
      <c r="BB33" s="41"/>
      <c r="BC33" s="41"/>
      <c r="BD33" s="41"/>
      <c r="BE33" s="41"/>
      <c r="BF33" s="41"/>
      <c r="BG33" s="41"/>
      <c r="BH33" s="41"/>
      <c r="BI33" s="41"/>
      <c r="BJ33" s="41"/>
      <c r="BK33" s="41"/>
      <c r="BL33" s="41"/>
      <c r="BM33" s="41"/>
      <c r="BN33" s="41"/>
      <c r="BO33" s="41"/>
      <c r="BP33" s="41"/>
      <c r="BQ33" s="41"/>
      <c r="BR33" s="41"/>
      <c r="BS33" s="41"/>
      <c r="BT33" s="41"/>
      <c r="BU33" s="41"/>
      <c r="BV33" s="41"/>
    </row>
    <row r="34" spans="1:74" ht="14.1" customHeight="1">
      <c r="A34" s="30"/>
      <c r="B34" s="91" t="s">
        <v>1417</v>
      </c>
      <c r="C34" s="49" t="s">
        <v>1991</v>
      </c>
      <c r="D34" s="48" t="s">
        <v>2009</v>
      </c>
      <c r="E34" s="48" t="s">
        <v>2009</v>
      </c>
      <c r="F34" s="91" t="s">
        <v>564</v>
      </c>
      <c r="G34" s="91" t="s">
        <v>1246</v>
      </c>
      <c r="H34" s="184" t="s">
        <v>2302</v>
      </c>
      <c r="I34" s="93" t="s">
        <v>2653</v>
      </c>
      <c r="J34" s="93" t="s">
        <v>2344</v>
      </c>
      <c r="K34" s="93" t="s">
        <v>3179</v>
      </c>
      <c r="L34" s="93" t="s">
        <v>2857</v>
      </c>
      <c r="M34" s="93" t="s">
        <v>656</v>
      </c>
      <c r="N34" s="49" t="s">
        <v>300</v>
      </c>
      <c r="O34" s="91" t="s">
        <v>566</v>
      </c>
      <c r="Q34" s="91" t="s">
        <v>566</v>
      </c>
      <c r="R34" s="207" t="s">
        <v>566</v>
      </c>
      <c r="S34" s="215" t="s">
        <v>32</v>
      </c>
      <c r="T34" s="54">
        <v>49</v>
      </c>
      <c r="U34" s="55">
        <v>50</v>
      </c>
      <c r="V34" s="175" t="s">
        <v>261</v>
      </c>
      <c r="W34" s="172" t="s">
        <v>3</v>
      </c>
      <c r="X34" s="173" t="s">
        <v>3</v>
      </c>
      <c r="Y34" s="173" t="s">
        <v>3</v>
      </c>
      <c r="Z34" s="173" t="s">
        <v>3</v>
      </c>
      <c r="AA34" s="36" t="s">
        <v>3</v>
      </c>
      <c r="AB34" s="36" t="s">
        <v>3</v>
      </c>
      <c r="AC34" s="153" t="s">
        <v>3</v>
      </c>
      <c r="AD34" s="38" t="s">
        <v>3</v>
      </c>
      <c r="AE34" s="38" t="s">
        <v>3</v>
      </c>
      <c r="AF34" s="45" t="s">
        <v>3</v>
      </c>
      <c r="AG34" s="38" t="s">
        <v>3</v>
      </c>
      <c r="AH34" s="38" t="s">
        <v>3</v>
      </c>
      <c r="AI34" s="51" t="s">
        <v>3</v>
      </c>
      <c r="AJ34" s="38" t="s">
        <v>541</v>
      </c>
      <c r="AK34" s="38" t="s">
        <v>541</v>
      </c>
      <c r="AL34" s="38"/>
      <c r="AM34" s="38" t="s">
        <v>541</v>
      </c>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row>
    <row r="35" spans="1:74" ht="14.1" customHeight="1">
      <c r="A35" s="30"/>
      <c r="B35" s="91" t="s">
        <v>1416</v>
      </c>
      <c r="C35" s="49" t="s">
        <v>1992</v>
      </c>
      <c r="D35" s="48" t="s">
        <v>2010</v>
      </c>
      <c r="E35" s="48" t="s">
        <v>2010</v>
      </c>
      <c r="F35" s="91" t="s">
        <v>567</v>
      </c>
      <c r="G35" s="91" t="s">
        <v>1247</v>
      </c>
      <c r="H35" s="184" t="s">
        <v>2303</v>
      </c>
      <c r="I35" s="93" t="s">
        <v>2654</v>
      </c>
      <c r="J35" s="93" t="s">
        <v>2345</v>
      </c>
      <c r="K35" s="93" t="s">
        <v>3180</v>
      </c>
      <c r="L35" s="93" t="s">
        <v>2858</v>
      </c>
      <c r="M35" s="93" t="s">
        <v>659</v>
      </c>
      <c r="N35" s="49" t="s">
        <v>301</v>
      </c>
      <c r="O35" s="91" t="s">
        <v>569</v>
      </c>
      <c r="Q35" s="91" t="s">
        <v>569</v>
      </c>
      <c r="R35" s="207" t="s">
        <v>569</v>
      </c>
      <c r="S35" s="215" t="s">
        <v>33</v>
      </c>
      <c r="T35" s="54">
        <v>51</v>
      </c>
      <c r="U35" s="55">
        <v>52</v>
      </c>
      <c r="V35" s="177" t="s">
        <v>10</v>
      </c>
      <c r="W35" s="91" t="s">
        <v>1415</v>
      </c>
      <c r="X35" s="49" t="s">
        <v>1989</v>
      </c>
      <c r="Y35" s="49" t="s">
        <v>1965</v>
      </c>
      <c r="Z35" s="49" t="s">
        <v>2003</v>
      </c>
      <c r="AA35" s="35" t="s">
        <v>665</v>
      </c>
      <c r="AB35" s="35" t="s">
        <v>1228</v>
      </c>
      <c r="AC35" s="158" t="s">
        <v>2336</v>
      </c>
      <c r="AD35" s="223" t="s">
        <v>2655</v>
      </c>
      <c r="AE35" s="82" t="s">
        <v>2302</v>
      </c>
      <c r="AF35" s="35" t="s">
        <v>927</v>
      </c>
      <c r="AG35" s="82" t="s">
        <v>2883</v>
      </c>
      <c r="AH35" s="57" t="s">
        <v>543</v>
      </c>
      <c r="AI35" s="81" t="s">
        <v>219</v>
      </c>
      <c r="AJ35" s="57" t="s">
        <v>667</v>
      </c>
      <c r="AK35" s="57"/>
      <c r="AL35" s="57"/>
      <c r="AM35" s="57" t="s">
        <v>667</v>
      </c>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1"/>
      <c r="BQ35" s="41"/>
      <c r="BR35" s="41"/>
      <c r="BS35" s="41"/>
      <c r="BT35" s="41"/>
      <c r="BU35" s="41"/>
      <c r="BV35" s="41"/>
    </row>
    <row r="36" spans="1:74" ht="14.1" customHeight="1">
      <c r="A36" s="30"/>
      <c r="B36" s="172" t="s">
        <v>4</v>
      </c>
      <c r="C36" s="173" t="s">
        <v>236</v>
      </c>
      <c r="D36" s="173" t="s">
        <v>236</v>
      </c>
      <c r="E36" s="173" t="s">
        <v>236</v>
      </c>
      <c r="F36" s="172" t="s">
        <v>236</v>
      </c>
      <c r="G36" s="172" t="s">
        <v>236</v>
      </c>
      <c r="H36" s="176" t="s">
        <v>236</v>
      </c>
      <c r="I36" s="176" t="s">
        <v>236</v>
      </c>
      <c r="J36" s="172" t="s">
        <v>236</v>
      </c>
      <c r="K36" s="173" t="s">
        <v>236</v>
      </c>
      <c r="L36" s="172" t="s">
        <v>236</v>
      </c>
      <c r="M36" s="172" t="s">
        <v>236</v>
      </c>
      <c r="N36" s="173" t="s">
        <v>268</v>
      </c>
      <c r="O36" s="172" t="s">
        <v>570</v>
      </c>
      <c r="P36" s="172" t="s">
        <v>570</v>
      </c>
      <c r="Q36" s="172" t="s">
        <v>570</v>
      </c>
      <c r="R36" s="205" t="s">
        <v>570</v>
      </c>
      <c r="S36" s="212" t="s">
        <v>6</v>
      </c>
      <c r="T36" s="54">
        <v>53</v>
      </c>
      <c r="U36" s="55">
        <v>54</v>
      </c>
      <c r="V36" s="177" t="s">
        <v>11</v>
      </c>
      <c r="W36" s="91" t="s">
        <v>1414</v>
      </c>
      <c r="X36" s="49" t="s">
        <v>1990</v>
      </c>
      <c r="Y36" s="49" t="s">
        <v>1966</v>
      </c>
      <c r="Z36" s="49" t="s">
        <v>2004</v>
      </c>
      <c r="AA36" s="35" t="s">
        <v>668</v>
      </c>
      <c r="AB36" s="35" t="s">
        <v>1229</v>
      </c>
      <c r="AC36" s="158" t="s">
        <v>2337</v>
      </c>
      <c r="AD36" s="223" t="s">
        <v>2656</v>
      </c>
      <c r="AE36" s="82" t="s">
        <v>2303</v>
      </c>
      <c r="AF36" s="35" t="s">
        <v>928</v>
      </c>
      <c r="AG36" s="82" t="s">
        <v>2884</v>
      </c>
      <c r="AH36" s="57" t="s">
        <v>546</v>
      </c>
      <c r="AI36" s="81" t="s">
        <v>220</v>
      </c>
      <c r="AJ36" s="57" t="s">
        <v>670</v>
      </c>
      <c r="AK36" s="57"/>
      <c r="AL36" s="57"/>
      <c r="AM36" s="57" t="s">
        <v>670</v>
      </c>
      <c r="AN36" s="41"/>
      <c r="AO36" s="41"/>
      <c r="AP36" s="41"/>
      <c r="AQ36" s="41"/>
      <c r="AR36" s="41"/>
      <c r="AS36" s="41"/>
      <c r="AT36" s="41"/>
      <c r="AU36" s="41"/>
      <c r="AV36" s="41"/>
      <c r="AW36" s="41"/>
      <c r="AX36" s="41"/>
      <c r="AY36" s="41"/>
      <c r="AZ36" s="41"/>
      <c r="BA36" s="41"/>
      <c r="BB36" s="41"/>
      <c r="BC36" s="41"/>
      <c r="BD36" s="41"/>
      <c r="BE36" s="41"/>
      <c r="BF36" s="41"/>
      <c r="BG36" s="41"/>
      <c r="BH36" s="41"/>
      <c r="BI36" s="41"/>
      <c r="BJ36" s="41"/>
      <c r="BK36" s="41"/>
      <c r="BL36" s="41"/>
      <c r="BM36" s="41"/>
      <c r="BN36" s="41"/>
      <c r="BO36" s="41"/>
      <c r="BP36" s="41"/>
      <c r="BQ36" s="41"/>
      <c r="BR36" s="41"/>
      <c r="BS36" s="41"/>
      <c r="BT36" s="41"/>
      <c r="BU36" s="41"/>
      <c r="BV36" s="41"/>
    </row>
    <row r="37" spans="1:74" ht="14.1" customHeight="1">
      <c r="A37" s="30"/>
      <c r="B37" s="91" t="s">
        <v>1433</v>
      </c>
      <c r="C37" s="49" t="s">
        <v>1993</v>
      </c>
      <c r="D37" s="49" t="s">
        <v>2011</v>
      </c>
      <c r="E37" s="49" t="s">
        <v>2011</v>
      </c>
      <c r="F37" s="91" t="s">
        <v>571</v>
      </c>
      <c r="G37" s="91" t="s">
        <v>1242</v>
      </c>
      <c r="H37" s="182" t="s">
        <v>2304</v>
      </c>
      <c r="I37" s="91" t="s">
        <v>2641</v>
      </c>
      <c r="J37" s="91" t="s">
        <v>2312</v>
      </c>
      <c r="K37" s="91" t="s">
        <v>3181</v>
      </c>
      <c r="L37" s="91" t="s">
        <v>2859</v>
      </c>
      <c r="M37" s="91" t="s">
        <v>584</v>
      </c>
      <c r="N37" s="49" t="s">
        <v>302</v>
      </c>
      <c r="O37" s="91" t="s">
        <v>573</v>
      </c>
      <c r="Q37" s="91" t="s">
        <v>1756</v>
      </c>
      <c r="R37" s="207" t="s">
        <v>1756</v>
      </c>
      <c r="S37" s="214" t="s">
        <v>10</v>
      </c>
      <c r="T37" s="54">
        <v>55</v>
      </c>
      <c r="U37" s="55">
        <v>56</v>
      </c>
      <c r="V37" s="181" t="s">
        <v>2</v>
      </c>
      <c r="W37" s="178" t="s">
        <v>2</v>
      </c>
      <c r="X37" s="179" t="s">
        <v>2</v>
      </c>
      <c r="Y37" s="179" t="s">
        <v>2</v>
      </c>
      <c r="Z37" s="179" t="s">
        <v>2</v>
      </c>
      <c r="AA37" s="32" t="s">
        <v>2</v>
      </c>
      <c r="AB37" s="32" t="s">
        <v>2</v>
      </c>
      <c r="AC37" s="155" t="s">
        <v>2</v>
      </c>
      <c r="AD37" s="37" t="s">
        <v>2</v>
      </c>
      <c r="AE37" s="37" t="s">
        <v>2</v>
      </c>
      <c r="AF37" s="47" t="s">
        <v>2</v>
      </c>
      <c r="AG37" s="37" t="s">
        <v>2</v>
      </c>
      <c r="AH37" s="37" t="s">
        <v>2</v>
      </c>
      <c r="AI37" s="50" t="s">
        <v>2</v>
      </c>
      <c r="AJ37" s="37" t="s">
        <v>2</v>
      </c>
      <c r="AK37" s="37" t="s">
        <v>2</v>
      </c>
      <c r="AL37" s="37"/>
      <c r="AM37" s="37" t="s">
        <v>2</v>
      </c>
      <c r="AN37" s="41"/>
      <c r="AO37" s="41"/>
      <c r="AP37" s="41"/>
      <c r="AQ37" s="41"/>
      <c r="AR37" s="41"/>
      <c r="AS37" s="41"/>
      <c r="AT37" s="41"/>
      <c r="AU37" s="41"/>
      <c r="AV37" s="41"/>
      <c r="AW37" s="41"/>
      <c r="AX37" s="41"/>
      <c r="AY37" s="41"/>
      <c r="AZ37" s="41"/>
      <c r="BA37" s="41"/>
      <c r="BB37" s="41"/>
      <c r="BC37" s="41"/>
      <c r="BD37" s="41"/>
      <c r="BE37" s="41"/>
      <c r="BF37" s="41"/>
      <c r="BG37" s="41"/>
      <c r="BH37" s="41"/>
      <c r="BI37" s="41"/>
      <c r="BJ37" s="41"/>
      <c r="BK37" s="41"/>
      <c r="BL37" s="41"/>
      <c r="BM37" s="41"/>
      <c r="BN37" s="41"/>
      <c r="BO37" s="41"/>
      <c r="BP37" s="41"/>
      <c r="BQ37" s="41"/>
      <c r="BR37" s="41"/>
      <c r="BS37" s="41"/>
      <c r="BT37" s="41"/>
      <c r="BU37" s="41"/>
      <c r="BV37" s="41"/>
    </row>
    <row r="38" spans="1:74" ht="14.1" customHeight="1">
      <c r="A38" s="30"/>
      <c r="B38" s="91" t="s">
        <v>1432</v>
      </c>
      <c r="C38" s="49" t="s">
        <v>1994</v>
      </c>
      <c r="D38" s="49" t="s">
        <v>2012</v>
      </c>
      <c r="E38" s="49" t="s">
        <v>2012</v>
      </c>
      <c r="F38" s="91" t="s">
        <v>574</v>
      </c>
      <c r="G38" s="91" t="s">
        <v>1243</v>
      </c>
      <c r="H38" s="182" t="s">
        <v>2305</v>
      </c>
      <c r="I38" s="91" t="s">
        <v>2642</v>
      </c>
      <c r="J38" s="91" t="s">
        <v>2313</v>
      </c>
      <c r="K38" s="91" t="s">
        <v>3182</v>
      </c>
      <c r="L38" s="91" t="s">
        <v>2860</v>
      </c>
      <c r="M38" s="91" t="s">
        <v>587</v>
      </c>
      <c r="N38" s="49" t="s">
        <v>303</v>
      </c>
      <c r="O38" s="91" t="s">
        <v>576</v>
      </c>
      <c r="Q38" s="91" t="s">
        <v>1757</v>
      </c>
      <c r="R38" s="207" t="s">
        <v>1757</v>
      </c>
      <c r="S38" s="214" t="s">
        <v>11</v>
      </c>
      <c r="T38" s="54">
        <v>57</v>
      </c>
      <c r="U38" s="55">
        <v>58</v>
      </c>
      <c r="V38" s="177" t="s">
        <v>10</v>
      </c>
      <c r="W38" s="91" t="s">
        <v>1447</v>
      </c>
      <c r="X38" s="49" t="s">
        <v>1987</v>
      </c>
      <c r="Y38" s="49" t="s">
        <v>1967</v>
      </c>
      <c r="Z38" s="49" t="s">
        <v>1971</v>
      </c>
      <c r="AA38" s="35" t="s">
        <v>671</v>
      </c>
      <c r="AB38" s="35" t="s">
        <v>1230</v>
      </c>
      <c r="AC38" s="154" t="s">
        <v>2338</v>
      </c>
      <c r="AD38" s="42" t="s">
        <v>2657</v>
      </c>
      <c r="AE38" s="57" t="s">
        <v>2338</v>
      </c>
      <c r="AF38" s="35" t="s">
        <v>923</v>
      </c>
      <c r="AG38" s="57" t="s">
        <v>2885</v>
      </c>
      <c r="AH38" s="57" t="s">
        <v>662</v>
      </c>
      <c r="AI38" s="81" t="s">
        <v>221</v>
      </c>
      <c r="AJ38" s="57" t="s">
        <v>673</v>
      </c>
      <c r="AK38" s="57"/>
      <c r="AL38" s="57"/>
      <c r="AM38" s="57" t="s">
        <v>1746</v>
      </c>
      <c r="AN38" s="41"/>
      <c r="AO38" s="41"/>
      <c r="AP38" s="41"/>
      <c r="AQ38" s="41"/>
      <c r="AR38" s="41"/>
      <c r="AS38" s="41"/>
      <c r="AT38" s="41"/>
      <c r="AU38" s="41"/>
      <c r="AV38" s="41"/>
      <c r="AW38" s="41"/>
      <c r="AX38" s="41"/>
      <c r="AY38" s="41"/>
      <c r="AZ38" s="41"/>
      <c r="BA38" s="41"/>
      <c r="BB38" s="41"/>
      <c r="BC38" s="41"/>
      <c r="BD38" s="41"/>
      <c r="BE38" s="41"/>
      <c r="BF38" s="41"/>
      <c r="BG38" s="41"/>
      <c r="BH38" s="41"/>
      <c r="BI38" s="41"/>
      <c r="BJ38" s="41"/>
      <c r="BK38" s="41"/>
      <c r="BL38" s="41"/>
      <c r="BM38" s="41"/>
      <c r="BN38" s="41"/>
      <c r="BO38" s="41"/>
      <c r="BP38" s="41"/>
      <c r="BQ38" s="41"/>
      <c r="BR38" s="41"/>
      <c r="BS38" s="41"/>
      <c r="BT38" s="41"/>
      <c r="BU38" s="41"/>
      <c r="BV38" s="41"/>
    </row>
    <row r="39" spans="1:74" ht="14.1" customHeight="1">
      <c r="A39" s="30"/>
      <c r="B39" s="178" t="s">
        <v>2</v>
      </c>
      <c r="C39" s="179" t="s">
        <v>2</v>
      </c>
      <c r="D39" s="179" t="s">
        <v>2</v>
      </c>
      <c r="E39" s="179" t="s">
        <v>2</v>
      </c>
      <c r="F39" s="178" t="s">
        <v>2</v>
      </c>
      <c r="G39" s="178" t="s">
        <v>2</v>
      </c>
      <c r="H39" s="180" t="s">
        <v>2</v>
      </c>
      <c r="I39" s="178" t="s">
        <v>2</v>
      </c>
      <c r="J39" s="178" t="s">
        <v>2</v>
      </c>
      <c r="K39" s="179" t="s">
        <v>2</v>
      </c>
      <c r="L39" s="178" t="s">
        <v>2</v>
      </c>
      <c r="M39" s="178" t="s">
        <v>2</v>
      </c>
      <c r="N39" s="179" t="s">
        <v>2</v>
      </c>
      <c r="O39" s="178" t="s">
        <v>2</v>
      </c>
      <c r="P39" s="178" t="s">
        <v>2</v>
      </c>
      <c r="Q39" s="178" t="s">
        <v>2</v>
      </c>
      <c r="R39" s="206" t="s">
        <v>2</v>
      </c>
      <c r="S39" s="213" t="s">
        <v>2</v>
      </c>
      <c r="T39" s="54">
        <v>59</v>
      </c>
      <c r="U39" s="55">
        <v>60</v>
      </c>
      <c r="V39" s="177" t="s">
        <v>11</v>
      </c>
      <c r="W39" s="91" t="s">
        <v>1446</v>
      </c>
      <c r="X39" s="49" t="s">
        <v>1988</v>
      </c>
      <c r="Y39" s="49" t="s">
        <v>1968</v>
      </c>
      <c r="Z39" s="49" t="s">
        <v>1972</v>
      </c>
      <c r="AA39" s="35" t="s">
        <v>674</v>
      </c>
      <c r="AB39" s="35" t="s">
        <v>1231</v>
      </c>
      <c r="AC39" s="154" t="s">
        <v>2339</v>
      </c>
      <c r="AD39" s="42" t="s">
        <v>2658</v>
      </c>
      <c r="AE39" s="57" t="s">
        <v>2339</v>
      </c>
      <c r="AF39" s="35" t="s">
        <v>924</v>
      </c>
      <c r="AG39" s="57" t="s">
        <v>2886</v>
      </c>
      <c r="AH39" s="57" t="s">
        <v>664</v>
      </c>
      <c r="AI39" s="81" t="s">
        <v>222</v>
      </c>
      <c r="AJ39" s="57" t="s">
        <v>676</v>
      </c>
      <c r="AK39" s="57"/>
      <c r="AL39" s="57"/>
      <c r="AM39" s="57" t="s">
        <v>1747</v>
      </c>
      <c r="AN39" s="41"/>
      <c r="AO39" s="41"/>
      <c r="AP39" s="41"/>
      <c r="AQ39" s="41"/>
      <c r="AR39" s="41"/>
      <c r="AS39" s="41"/>
      <c r="AT39" s="41"/>
      <c r="AU39" s="41"/>
      <c r="AV39" s="41"/>
      <c r="AW39" s="41"/>
      <c r="AX39" s="41"/>
      <c r="AY39" s="41"/>
      <c r="AZ39" s="41"/>
      <c r="BA39" s="41"/>
      <c r="BB39" s="41"/>
      <c r="BC39" s="41"/>
      <c r="BD39" s="41"/>
      <c r="BE39" s="41"/>
      <c r="BF39" s="41"/>
      <c r="BG39" s="41"/>
      <c r="BH39" s="41"/>
      <c r="BI39" s="41"/>
      <c r="BJ39" s="41"/>
      <c r="BK39" s="41"/>
      <c r="BL39" s="41"/>
      <c r="BM39" s="41"/>
      <c r="BN39" s="41"/>
      <c r="BO39" s="41"/>
      <c r="BP39" s="41"/>
      <c r="BQ39" s="41"/>
      <c r="BR39" s="41"/>
      <c r="BS39" s="41"/>
      <c r="BT39" s="41"/>
      <c r="BU39" s="41"/>
      <c r="BV39" s="41"/>
    </row>
    <row r="40" spans="1:74" ht="14.1" customHeight="1">
      <c r="A40" s="30"/>
      <c r="B40" s="91" t="s">
        <v>1441</v>
      </c>
      <c r="C40" s="49" t="s">
        <v>1995</v>
      </c>
      <c r="D40" s="49" t="s">
        <v>2013</v>
      </c>
      <c r="E40" s="49" t="s">
        <v>1967</v>
      </c>
      <c r="F40" s="91" t="s">
        <v>577</v>
      </c>
      <c r="G40" s="91" t="s">
        <v>1260</v>
      </c>
      <c r="H40" s="182" t="s">
        <v>2306</v>
      </c>
      <c r="I40" s="91" t="s">
        <v>2647</v>
      </c>
      <c r="J40" s="91" t="s">
        <v>2342</v>
      </c>
      <c r="K40" s="91" t="s">
        <v>3183</v>
      </c>
      <c r="L40" s="91" t="s">
        <v>2861</v>
      </c>
      <c r="M40" s="91" t="s">
        <v>578</v>
      </c>
      <c r="N40" s="49" t="s">
        <v>304</v>
      </c>
      <c r="O40" s="91" t="s">
        <v>579</v>
      </c>
      <c r="Q40" s="91" t="s">
        <v>1758</v>
      </c>
      <c r="R40" s="207" t="s">
        <v>1758</v>
      </c>
      <c r="S40" s="214" t="s">
        <v>10</v>
      </c>
      <c r="T40" s="54">
        <v>61</v>
      </c>
      <c r="U40" s="55">
        <v>62</v>
      </c>
      <c r="V40" s="175" t="s">
        <v>6</v>
      </c>
      <c r="W40" s="172" t="s">
        <v>4</v>
      </c>
      <c r="X40" s="173" t="s">
        <v>236</v>
      </c>
      <c r="Y40" s="173" t="s">
        <v>236</v>
      </c>
      <c r="Z40" s="173" t="s">
        <v>236</v>
      </c>
      <c r="AA40" s="36" t="s">
        <v>236</v>
      </c>
      <c r="AB40" s="36" t="s">
        <v>236</v>
      </c>
      <c r="AC40" s="153" t="s">
        <v>236</v>
      </c>
      <c r="AD40" s="153" t="s">
        <v>236</v>
      </c>
      <c r="AE40" s="38" t="s">
        <v>236</v>
      </c>
      <c r="AF40" s="45" t="s">
        <v>236</v>
      </c>
      <c r="AG40" s="38" t="s">
        <v>236</v>
      </c>
      <c r="AH40" s="38" t="s">
        <v>236</v>
      </c>
      <c r="AI40" s="51" t="s">
        <v>268</v>
      </c>
      <c r="AJ40" s="38" t="s">
        <v>570</v>
      </c>
      <c r="AK40" s="38" t="s">
        <v>570</v>
      </c>
      <c r="AL40" s="38"/>
      <c r="AM40" s="38" t="s">
        <v>570</v>
      </c>
      <c r="AN40" s="41"/>
      <c r="AO40" s="41"/>
      <c r="AP40" s="41"/>
      <c r="AQ40" s="41"/>
      <c r="AR40" s="41"/>
      <c r="AS40" s="41"/>
      <c r="AT40" s="41"/>
      <c r="AU40" s="41"/>
      <c r="AV40" s="41"/>
      <c r="AW40" s="41"/>
      <c r="AX40" s="41"/>
      <c r="AY40" s="41"/>
      <c r="AZ40" s="41"/>
      <c r="BA40" s="41"/>
      <c r="BB40" s="41"/>
      <c r="BC40" s="41"/>
      <c r="BD40" s="41"/>
      <c r="BE40" s="41"/>
      <c r="BF40" s="41"/>
      <c r="BG40" s="41"/>
      <c r="BH40" s="41"/>
      <c r="BI40" s="41"/>
      <c r="BJ40" s="41"/>
      <c r="BK40" s="41"/>
      <c r="BL40" s="41"/>
      <c r="BM40" s="41"/>
      <c r="BN40" s="41"/>
      <c r="BO40" s="41"/>
      <c r="BP40" s="41"/>
      <c r="BQ40" s="41"/>
      <c r="BR40" s="41"/>
      <c r="BS40" s="41"/>
      <c r="BT40" s="41"/>
      <c r="BU40" s="41"/>
      <c r="BV40" s="41"/>
    </row>
    <row r="41" spans="1:74" ht="14.1" customHeight="1">
      <c r="A41" s="30"/>
      <c r="B41" s="91" t="s">
        <v>1440</v>
      </c>
      <c r="C41" s="49" t="s">
        <v>1996</v>
      </c>
      <c r="D41" s="49" t="s">
        <v>2014</v>
      </c>
      <c r="E41" s="49" t="s">
        <v>1968</v>
      </c>
      <c r="F41" s="91" t="s">
        <v>580</v>
      </c>
      <c r="G41" s="91" t="s">
        <v>1261</v>
      </c>
      <c r="H41" s="182" t="s">
        <v>2307</v>
      </c>
      <c r="I41" s="91" t="s">
        <v>2648</v>
      </c>
      <c r="J41" s="91" t="s">
        <v>2343</v>
      </c>
      <c r="K41" s="91" t="s">
        <v>3184</v>
      </c>
      <c r="L41" s="91" t="s">
        <v>2862</v>
      </c>
      <c r="M41" s="91" t="s">
        <v>581</v>
      </c>
      <c r="N41" s="49" t="s">
        <v>305</v>
      </c>
      <c r="O41" s="91" t="s">
        <v>582</v>
      </c>
      <c r="Q41" s="91" t="s">
        <v>1759</v>
      </c>
      <c r="R41" s="207" t="s">
        <v>1759</v>
      </c>
      <c r="S41" s="214" t="s">
        <v>11</v>
      </c>
      <c r="T41" s="54">
        <v>63</v>
      </c>
      <c r="U41" s="55">
        <v>64</v>
      </c>
      <c r="V41" s="177" t="s">
        <v>10</v>
      </c>
      <c r="W41" s="91" t="s">
        <v>1427</v>
      </c>
      <c r="X41" s="49" t="s">
        <v>326</v>
      </c>
      <c r="Y41" s="49" t="s">
        <v>1969</v>
      </c>
      <c r="Z41" s="49" t="s">
        <v>1957</v>
      </c>
      <c r="AA41" s="35" t="s">
        <v>677</v>
      </c>
      <c r="AB41" s="35" t="s">
        <v>1232</v>
      </c>
      <c r="AC41" s="154" t="s">
        <v>2340</v>
      </c>
      <c r="AD41" s="42" t="s">
        <v>2661</v>
      </c>
      <c r="AE41" s="57" t="s">
        <v>2340</v>
      </c>
      <c r="AF41" s="35" t="s">
        <v>921</v>
      </c>
      <c r="AG41" s="57" t="s">
        <v>2887</v>
      </c>
      <c r="AH41" s="57" t="s">
        <v>536</v>
      </c>
      <c r="AI41" s="81" t="s">
        <v>327</v>
      </c>
      <c r="AJ41" s="57" t="s">
        <v>679</v>
      </c>
      <c r="AK41" s="57"/>
      <c r="AL41" s="57"/>
      <c r="AM41" s="57" t="s">
        <v>1748</v>
      </c>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row>
    <row r="42" spans="1:74" ht="14.1" customHeight="1">
      <c r="A42" s="30"/>
      <c r="B42" s="172" t="s">
        <v>4</v>
      </c>
      <c r="C42" s="173" t="s">
        <v>236</v>
      </c>
      <c r="D42" s="173" t="s">
        <v>236</v>
      </c>
      <c r="E42" s="173" t="s">
        <v>236</v>
      </c>
      <c r="F42" s="172" t="s">
        <v>236</v>
      </c>
      <c r="G42" s="172" t="s">
        <v>236</v>
      </c>
      <c r="H42" s="176" t="s">
        <v>236</v>
      </c>
      <c r="I42" s="176" t="s">
        <v>236</v>
      </c>
      <c r="J42" s="172" t="s">
        <v>236</v>
      </c>
      <c r="K42" s="173" t="s">
        <v>236</v>
      </c>
      <c r="L42" s="172" t="s">
        <v>236</v>
      </c>
      <c r="M42" s="172" t="s">
        <v>236</v>
      </c>
      <c r="N42" s="173" t="s">
        <v>268</v>
      </c>
      <c r="O42" s="172" t="s">
        <v>570</v>
      </c>
      <c r="P42" s="172" t="s">
        <v>570</v>
      </c>
      <c r="Q42" s="172" t="s">
        <v>570</v>
      </c>
      <c r="R42" s="205" t="s">
        <v>570</v>
      </c>
      <c r="S42" s="212" t="s">
        <v>6</v>
      </c>
      <c r="T42" s="54">
        <v>65</v>
      </c>
      <c r="U42" s="55">
        <v>66</v>
      </c>
      <c r="V42" s="177" t="s">
        <v>11</v>
      </c>
      <c r="W42" s="91" t="s">
        <v>1426</v>
      </c>
      <c r="X42" s="49" t="s">
        <v>328</v>
      </c>
      <c r="Y42" s="49" t="s">
        <v>1970</v>
      </c>
      <c r="Z42" s="49" t="s">
        <v>1958</v>
      </c>
      <c r="AA42" s="35" t="s">
        <v>680</v>
      </c>
      <c r="AB42" s="35" t="s">
        <v>1233</v>
      </c>
      <c r="AC42" s="154" t="s">
        <v>2341</v>
      </c>
      <c r="AD42" s="42" t="s">
        <v>2662</v>
      </c>
      <c r="AE42" s="57" t="s">
        <v>2341</v>
      </c>
      <c r="AF42" s="35" t="s">
        <v>922</v>
      </c>
      <c r="AG42" s="57" t="s">
        <v>2888</v>
      </c>
      <c r="AH42" s="57" t="s">
        <v>539</v>
      </c>
      <c r="AI42" s="81" t="s">
        <v>329</v>
      </c>
      <c r="AJ42" s="57" t="s">
        <v>682</v>
      </c>
      <c r="AK42" s="57"/>
      <c r="AL42" s="57"/>
      <c r="AM42" s="57" t="s">
        <v>1749</v>
      </c>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row>
    <row r="43" spans="1:74" ht="14.1" customHeight="1">
      <c r="A43" s="30"/>
      <c r="B43" s="91" t="s">
        <v>1445</v>
      </c>
      <c r="C43" s="49" t="s">
        <v>306</v>
      </c>
      <c r="D43" s="49" t="s">
        <v>2015</v>
      </c>
      <c r="E43" s="49" t="s">
        <v>2015</v>
      </c>
      <c r="F43" s="91" t="s">
        <v>583</v>
      </c>
      <c r="G43" s="91" t="s">
        <v>1254</v>
      </c>
      <c r="H43" s="182" t="s">
        <v>2308</v>
      </c>
      <c r="I43" s="91" t="s">
        <v>2645</v>
      </c>
      <c r="J43" s="91" t="s">
        <v>2310</v>
      </c>
      <c r="K43" s="91" t="s">
        <v>3185</v>
      </c>
      <c r="L43" s="91" t="s">
        <v>2863</v>
      </c>
      <c r="M43" s="91" t="s">
        <v>549</v>
      </c>
      <c r="N43" s="49" t="s">
        <v>179</v>
      </c>
      <c r="O43" s="91" t="s">
        <v>585</v>
      </c>
      <c r="Q43" s="91" t="s">
        <v>1762</v>
      </c>
      <c r="R43" s="207" t="s">
        <v>1762</v>
      </c>
      <c r="S43" s="214" t="s">
        <v>10</v>
      </c>
      <c r="T43" s="54">
        <v>67</v>
      </c>
      <c r="U43" s="55">
        <v>68</v>
      </c>
      <c r="V43" s="181" t="s">
        <v>2</v>
      </c>
      <c r="W43" s="178" t="s">
        <v>2</v>
      </c>
      <c r="X43" s="179" t="s">
        <v>2</v>
      </c>
      <c r="Y43" s="179" t="s">
        <v>2</v>
      </c>
      <c r="Z43" s="179" t="s">
        <v>2</v>
      </c>
      <c r="AA43" s="32" t="s">
        <v>2</v>
      </c>
      <c r="AB43" s="32" t="s">
        <v>2</v>
      </c>
      <c r="AC43" s="155" t="s">
        <v>2</v>
      </c>
      <c r="AD43" s="37" t="s">
        <v>2</v>
      </c>
      <c r="AE43" s="37" t="s">
        <v>2</v>
      </c>
      <c r="AF43" s="47" t="s">
        <v>2</v>
      </c>
      <c r="AG43" s="37" t="s">
        <v>2</v>
      </c>
      <c r="AH43" s="37" t="s">
        <v>2</v>
      </c>
      <c r="AI43" s="50" t="s">
        <v>2</v>
      </c>
      <c r="AJ43" s="37" t="s">
        <v>2</v>
      </c>
      <c r="AK43" s="37" t="s">
        <v>2</v>
      </c>
      <c r="AL43" s="37"/>
      <c r="AM43" s="37" t="s">
        <v>2</v>
      </c>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row>
    <row r="44" spans="1:74" ht="14.1" customHeight="1">
      <c r="A44" s="30"/>
      <c r="B44" s="91" t="s">
        <v>1444</v>
      </c>
      <c r="C44" s="49" t="s">
        <v>307</v>
      </c>
      <c r="D44" s="49" t="s">
        <v>2016</v>
      </c>
      <c r="E44" s="49" t="s">
        <v>2016</v>
      </c>
      <c r="F44" s="91" t="s">
        <v>586</v>
      </c>
      <c r="G44" s="91" t="s">
        <v>1255</v>
      </c>
      <c r="H44" s="182" t="s">
        <v>2309</v>
      </c>
      <c r="I44" s="91" t="s">
        <v>2646</v>
      </c>
      <c r="J44" s="91" t="s">
        <v>2311</v>
      </c>
      <c r="K44" s="91" t="s">
        <v>3186</v>
      </c>
      <c r="L44" s="91" t="s">
        <v>2864</v>
      </c>
      <c r="M44" s="91" t="s">
        <v>552</v>
      </c>
      <c r="N44" s="49" t="s">
        <v>180</v>
      </c>
      <c r="O44" s="91" t="s">
        <v>588</v>
      </c>
      <c r="Q44" s="91" t="s">
        <v>1763</v>
      </c>
      <c r="R44" s="207" t="s">
        <v>1763</v>
      </c>
      <c r="S44" s="214" t="s">
        <v>11</v>
      </c>
      <c r="T44" s="54">
        <v>69</v>
      </c>
      <c r="U44" s="55">
        <v>70</v>
      </c>
      <c r="V44" s="177" t="s">
        <v>10</v>
      </c>
      <c r="W44" s="91" t="s">
        <v>1443</v>
      </c>
      <c r="X44" s="49" t="s">
        <v>330</v>
      </c>
      <c r="Y44" s="49" t="s">
        <v>1971</v>
      </c>
      <c r="Z44" s="49" t="s">
        <v>2005</v>
      </c>
      <c r="AA44" s="35" t="s">
        <v>683</v>
      </c>
      <c r="AB44" s="35" t="s">
        <v>1236</v>
      </c>
      <c r="AC44" s="154" t="s">
        <v>2342</v>
      </c>
      <c r="AD44" s="42" t="s">
        <v>2659</v>
      </c>
      <c r="AE44" s="57" t="s">
        <v>2304</v>
      </c>
      <c r="AF44" s="35" t="s">
        <v>919</v>
      </c>
      <c r="AG44" s="57" t="s">
        <v>2889</v>
      </c>
      <c r="AH44" s="57" t="s">
        <v>690</v>
      </c>
      <c r="AI44" s="81" t="s">
        <v>331</v>
      </c>
      <c r="AJ44" s="57" t="s">
        <v>685</v>
      </c>
      <c r="AK44" s="57"/>
      <c r="AL44" s="57"/>
      <c r="AM44" s="57" t="s">
        <v>1750</v>
      </c>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row>
    <row r="45" spans="1:74" ht="14.1" customHeight="1">
      <c r="A45" s="30"/>
      <c r="B45" s="178" t="s">
        <v>2</v>
      </c>
      <c r="C45" s="179" t="s">
        <v>2</v>
      </c>
      <c r="D45" s="179" t="s">
        <v>2</v>
      </c>
      <c r="E45" s="179" t="s">
        <v>2</v>
      </c>
      <c r="F45" s="178" t="s">
        <v>2</v>
      </c>
      <c r="G45" s="178" t="s">
        <v>2</v>
      </c>
      <c r="H45" s="180" t="s">
        <v>2</v>
      </c>
      <c r="I45" s="178" t="s">
        <v>2</v>
      </c>
      <c r="J45" s="178" t="s">
        <v>2</v>
      </c>
      <c r="K45" s="179" t="s">
        <v>2</v>
      </c>
      <c r="L45" s="178" t="s">
        <v>2</v>
      </c>
      <c r="M45" s="178" t="s">
        <v>2</v>
      </c>
      <c r="N45" s="179" t="s">
        <v>2</v>
      </c>
      <c r="O45" s="178" t="s">
        <v>2</v>
      </c>
      <c r="P45" s="178" t="s">
        <v>2</v>
      </c>
      <c r="Q45" s="178" t="s">
        <v>2</v>
      </c>
      <c r="R45" s="206" t="s">
        <v>2</v>
      </c>
      <c r="S45" s="213" t="s">
        <v>2</v>
      </c>
      <c r="T45" s="54">
        <v>71</v>
      </c>
      <c r="U45" s="55">
        <v>72</v>
      </c>
      <c r="V45" s="177" t="s">
        <v>11</v>
      </c>
      <c r="W45" s="91" t="s">
        <v>1442</v>
      </c>
      <c r="X45" s="49" t="s">
        <v>332</v>
      </c>
      <c r="Y45" s="49" t="s">
        <v>1972</v>
      </c>
      <c r="Z45" s="49" t="s">
        <v>2006</v>
      </c>
      <c r="AA45" s="35" t="s">
        <v>686</v>
      </c>
      <c r="AB45" s="35" t="s">
        <v>1237</v>
      </c>
      <c r="AC45" s="154" t="s">
        <v>2343</v>
      </c>
      <c r="AD45" s="42" t="s">
        <v>2660</v>
      </c>
      <c r="AE45" s="57" t="s">
        <v>2305</v>
      </c>
      <c r="AF45" s="35" t="s">
        <v>920</v>
      </c>
      <c r="AG45" s="57" t="s">
        <v>2890</v>
      </c>
      <c r="AH45" s="57" t="s">
        <v>693</v>
      </c>
      <c r="AI45" s="81" t="s">
        <v>333</v>
      </c>
      <c r="AJ45" s="57" t="s">
        <v>688</v>
      </c>
      <c r="AK45" s="57"/>
      <c r="AL45" s="57"/>
      <c r="AM45" s="57" t="s">
        <v>1751</v>
      </c>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row>
    <row r="46" spans="1:74" ht="14.1" customHeight="1">
      <c r="A46" s="30"/>
      <c r="B46" s="91" t="s">
        <v>1425</v>
      </c>
      <c r="C46" s="49" t="s">
        <v>308</v>
      </c>
      <c r="D46" s="49" t="s">
        <v>2017</v>
      </c>
      <c r="E46" s="49" t="s">
        <v>2013</v>
      </c>
      <c r="F46" s="91" t="s">
        <v>589</v>
      </c>
      <c r="G46" s="91" t="s">
        <v>1244</v>
      </c>
      <c r="H46" s="182" t="s">
        <v>2310</v>
      </c>
      <c r="I46" s="91" t="s">
        <v>2643</v>
      </c>
      <c r="J46" s="91" t="s">
        <v>2308</v>
      </c>
      <c r="K46" s="91" t="s">
        <v>3187</v>
      </c>
      <c r="L46" s="91" t="s">
        <v>2865</v>
      </c>
      <c r="M46" s="91" t="s">
        <v>678</v>
      </c>
      <c r="N46" s="49" t="s">
        <v>181</v>
      </c>
      <c r="O46" s="91" t="s">
        <v>591</v>
      </c>
      <c r="Q46" s="91" t="s">
        <v>1764</v>
      </c>
      <c r="R46" s="207" t="s">
        <v>1764</v>
      </c>
      <c r="S46" s="214" t="s">
        <v>10</v>
      </c>
      <c r="T46" s="54">
        <v>73</v>
      </c>
      <c r="U46" s="55">
        <v>74</v>
      </c>
      <c r="V46" s="175" t="s">
        <v>238</v>
      </c>
      <c r="W46" s="172" t="s">
        <v>1475</v>
      </c>
      <c r="X46" s="173" t="s">
        <v>310</v>
      </c>
      <c r="Y46" s="173" t="s">
        <v>595</v>
      </c>
      <c r="Z46" s="173" t="s">
        <v>2186</v>
      </c>
      <c r="AA46" s="36" t="s">
        <v>596</v>
      </c>
      <c r="AB46" s="36" t="s">
        <v>1138</v>
      </c>
      <c r="AC46" s="153" t="s">
        <v>597</v>
      </c>
      <c r="AD46" s="38" t="s">
        <v>597</v>
      </c>
      <c r="AE46" s="38" t="s">
        <v>597</v>
      </c>
      <c r="AF46" s="45" t="s">
        <v>933</v>
      </c>
      <c r="AG46" s="38" t="s">
        <v>597</v>
      </c>
      <c r="AH46" s="38" t="s">
        <v>597</v>
      </c>
      <c r="AI46" s="51" t="s">
        <v>297</v>
      </c>
      <c r="AJ46" s="38" t="s">
        <v>297</v>
      </c>
      <c r="AK46" s="38" t="s">
        <v>297</v>
      </c>
      <c r="AL46" s="38"/>
      <c r="AM46" s="38" t="s">
        <v>297</v>
      </c>
      <c r="AN46" s="41"/>
      <c r="AO46" s="41"/>
      <c r="AP46" s="41"/>
      <c r="AQ46" s="41"/>
      <c r="AR46" s="41"/>
      <c r="AS46" s="41"/>
      <c r="AT46" s="41"/>
      <c r="AU46" s="41"/>
      <c r="AV46" s="41"/>
      <c r="AW46" s="41"/>
      <c r="AX46" s="41"/>
      <c r="AY46" s="41"/>
      <c r="AZ46" s="41"/>
      <c r="BA46" s="41"/>
      <c r="BB46" s="41"/>
      <c r="BC46" s="41"/>
      <c r="BD46" s="41"/>
      <c r="BE46" s="41"/>
      <c r="BF46" s="41"/>
      <c r="BG46" s="41"/>
      <c r="BH46" s="41"/>
      <c r="BI46" s="41"/>
      <c r="BJ46" s="41"/>
      <c r="BK46" s="41"/>
      <c r="BL46" s="41"/>
      <c r="BM46" s="41"/>
      <c r="BN46" s="41"/>
      <c r="BO46" s="41"/>
      <c r="BP46" s="41"/>
      <c r="BQ46" s="41"/>
      <c r="BR46" s="41"/>
      <c r="BS46" s="41"/>
      <c r="BT46" s="41"/>
      <c r="BU46" s="41"/>
      <c r="BV46" s="41"/>
    </row>
    <row r="47" spans="1:74" ht="14.1" customHeight="1">
      <c r="A47" s="30"/>
      <c r="B47" s="91" t="s">
        <v>1424</v>
      </c>
      <c r="C47" s="49" t="s">
        <v>309</v>
      </c>
      <c r="D47" s="49" t="s">
        <v>2018</v>
      </c>
      <c r="E47" s="49" t="s">
        <v>2014</v>
      </c>
      <c r="F47" s="91" t="s">
        <v>592</v>
      </c>
      <c r="G47" s="91" t="s">
        <v>1245</v>
      </c>
      <c r="H47" s="182" t="s">
        <v>2311</v>
      </c>
      <c r="I47" s="91" t="s">
        <v>2644</v>
      </c>
      <c r="J47" s="91" t="s">
        <v>2309</v>
      </c>
      <c r="K47" s="91" t="s">
        <v>3188</v>
      </c>
      <c r="L47" s="91" t="s">
        <v>2866</v>
      </c>
      <c r="M47" s="91" t="s">
        <v>681</v>
      </c>
      <c r="N47" s="49" t="s">
        <v>182</v>
      </c>
      <c r="O47" s="91" t="s">
        <v>594</v>
      </c>
      <c r="Q47" s="91" t="s">
        <v>1765</v>
      </c>
      <c r="R47" s="207" t="s">
        <v>1765</v>
      </c>
      <c r="S47" s="214" t="s">
        <v>11</v>
      </c>
      <c r="T47" s="54">
        <v>75</v>
      </c>
      <c r="U47" s="55">
        <v>76</v>
      </c>
      <c r="V47" s="177" t="s">
        <v>10</v>
      </c>
      <c r="W47" s="91" t="s">
        <v>1439</v>
      </c>
      <c r="X47" s="49" t="s">
        <v>334</v>
      </c>
      <c r="Y47" s="49" t="s">
        <v>1973</v>
      </c>
      <c r="Z47" s="49" t="s">
        <v>2001</v>
      </c>
      <c r="AA47" s="35" t="s">
        <v>689</v>
      </c>
      <c r="AB47" s="35" t="s">
        <v>1234</v>
      </c>
      <c r="AC47" s="158" t="s">
        <v>2344</v>
      </c>
      <c r="AD47" s="223" t="s">
        <v>2651</v>
      </c>
      <c r="AE47" s="82" t="s">
        <v>2314</v>
      </c>
      <c r="AF47" s="35" t="s">
        <v>917</v>
      </c>
      <c r="AG47" s="82" t="s">
        <v>2891</v>
      </c>
      <c r="AH47" s="57" t="s">
        <v>590</v>
      </c>
      <c r="AI47" s="81" t="s">
        <v>335</v>
      </c>
      <c r="AJ47" s="57" t="s">
        <v>691</v>
      </c>
      <c r="AK47" s="57"/>
      <c r="AL47" s="57"/>
      <c r="AM47" s="57" t="s">
        <v>1752</v>
      </c>
      <c r="AN47" s="41"/>
      <c r="AO47" s="41"/>
      <c r="AP47" s="41"/>
      <c r="AQ47" s="41"/>
      <c r="AR47" s="41"/>
      <c r="AS47" s="41"/>
      <c r="AT47" s="41"/>
      <c r="AU47" s="41"/>
      <c r="AV47" s="41"/>
      <c r="AW47" s="41"/>
      <c r="AX47" s="41"/>
      <c r="AY47" s="41"/>
      <c r="AZ47" s="41"/>
      <c r="BA47" s="41"/>
      <c r="BB47" s="41"/>
      <c r="BC47" s="41"/>
      <c r="BD47" s="41"/>
      <c r="BE47" s="41"/>
      <c r="BF47" s="41"/>
      <c r="BG47" s="41"/>
      <c r="BH47" s="41"/>
      <c r="BI47" s="41"/>
      <c r="BJ47" s="41"/>
      <c r="BK47" s="41"/>
      <c r="BL47" s="41"/>
      <c r="BM47" s="41"/>
      <c r="BN47" s="41"/>
      <c r="BO47" s="41"/>
      <c r="BP47" s="41"/>
      <c r="BQ47" s="41"/>
      <c r="BR47" s="41"/>
      <c r="BS47" s="41"/>
      <c r="BT47" s="41"/>
      <c r="BU47" s="41"/>
      <c r="BV47" s="41"/>
    </row>
    <row r="48" spans="1:74" ht="14.1" customHeight="1">
      <c r="A48" s="30"/>
      <c r="B48" s="172" t="s">
        <v>1475</v>
      </c>
      <c r="C48" s="173" t="s">
        <v>310</v>
      </c>
      <c r="D48" s="173" t="s">
        <v>595</v>
      </c>
      <c r="E48" s="173" t="s">
        <v>2186</v>
      </c>
      <c r="F48" s="172" t="s">
        <v>596</v>
      </c>
      <c r="G48" s="172" t="s">
        <v>1138</v>
      </c>
      <c r="H48" s="176" t="s">
        <v>597</v>
      </c>
      <c r="I48" s="172" t="s">
        <v>597</v>
      </c>
      <c r="J48" s="172" t="s">
        <v>597</v>
      </c>
      <c r="K48" s="173" t="s">
        <v>933</v>
      </c>
      <c r="L48" s="172" t="s">
        <v>597</v>
      </c>
      <c r="M48" s="172" t="s">
        <v>597</v>
      </c>
      <c r="N48" s="173" t="s">
        <v>297</v>
      </c>
      <c r="O48" s="172" t="s">
        <v>297</v>
      </c>
      <c r="P48" s="172" t="s">
        <v>297</v>
      </c>
      <c r="Q48" s="172" t="s">
        <v>297</v>
      </c>
      <c r="R48" s="205" t="s">
        <v>297</v>
      </c>
      <c r="S48" s="212" t="s">
        <v>238</v>
      </c>
      <c r="T48" s="54">
        <v>77</v>
      </c>
      <c r="U48" s="55">
        <v>78</v>
      </c>
      <c r="V48" s="177" t="s">
        <v>11</v>
      </c>
      <c r="W48" s="91" t="s">
        <v>1438</v>
      </c>
      <c r="X48" s="49" t="s">
        <v>336</v>
      </c>
      <c r="Y48" s="49" t="s">
        <v>1974</v>
      </c>
      <c r="Z48" s="49" t="s">
        <v>2002</v>
      </c>
      <c r="AA48" s="35" t="s">
        <v>692</v>
      </c>
      <c r="AB48" s="35" t="s">
        <v>1235</v>
      </c>
      <c r="AC48" s="158" t="s">
        <v>2345</v>
      </c>
      <c r="AD48" s="223" t="s">
        <v>2652</v>
      </c>
      <c r="AE48" s="82" t="s">
        <v>2315</v>
      </c>
      <c r="AF48" s="35" t="s">
        <v>918</v>
      </c>
      <c r="AG48" s="82" t="s">
        <v>2892</v>
      </c>
      <c r="AH48" s="57" t="s">
        <v>593</v>
      </c>
      <c r="AI48" s="81" t="s">
        <v>337</v>
      </c>
      <c r="AJ48" s="57" t="s">
        <v>694</v>
      </c>
      <c r="AK48" s="57"/>
      <c r="AL48" s="57"/>
      <c r="AM48" s="57" t="s">
        <v>1753</v>
      </c>
      <c r="AN48" s="41"/>
      <c r="AO48" s="41"/>
      <c r="AP48" s="41"/>
      <c r="AQ48" s="41"/>
      <c r="AR48" s="41"/>
      <c r="AS48" s="41"/>
      <c r="AT48" s="41"/>
      <c r="AU48" s="41"/>
      <c r="AV48" s="41"/>
      <c r="AW48" s="41"/>
      <c r="AX48" s="41"/>
      <c r="AY48" s="41"/>
      <c r="AZ48" s="41"/>
      <c r="BA48" s="41"/>
      <c r="BB48" s="41"/>
      <c r="BC48" s="41"/>
      <c r="BD48" s="41"/>
      <c r="BE48" s="41"/>
      <c r="BF48" s="41"/>
      <c r="BG48" s="41"/>
      <c r="BH48" s="41"/>
      <c r="BI48" s="41"/>
      <c r="BJ48" s="41"/>
      <c r="BK48" s="41"/>
      <c r="BL48" s="41"/>
      <c r="BM48" s="41"/>
      <c r="BN48" s="41"/>
      <c r="BO48" s="41"/>
      <c r="BP48" s="41"/>
      <c r="BQ48" s="41"/>
      <c r="BR48" s="41"/>
      <c r="BS48" s="41"/>
      <c r="BT48" s="41"/>
      <c r="BU48" s="41"/>
      <c r="BV48" s="41"/>
    </row>
    <row r="49" spans="1:74" ht="14.1" customHeight="1">
      <c r="A49" s="30"/>
      <c r="B49" s="91" t="s">
        <v>1431</v>
      </c>
      <c r="C49" s="49" t="s">
        <v>311</v>
      </c>
      <c r="D49" s="49" t="s">
        <v>2019</v>
      </c>
      <c r="E49" s="49" t="s">
        <v>2184</v>
      </c>
      <c r="F49" s="91" t="s">
        <v>598</v>
      </c>
      <c r="G49" s="91" t="s">
        <v>1256</v>
      </c>
      <c r="H49" s="182" t="s">
        <v>2312</v>
      </c>
      <c r="I49" s="91" t="s">
        <v>2663</v>
      </c>
      <c r="J49" s="91" t="s">
        <v>2306</v>
      </c>
      <c r="K49" s="91" t="s">
        <v>3189</v>
      </c>
      <c r="L49" s="91" t="s">
        <v>2867</v>
      </c>
      <c r="M49" s="91" t="s">
        <v>696</v>
      </c>
      <c r="N49" s="49" t="s">
        <v>183</v>
      </c>
      <c r="O49" s="91" t="s">
        <v>600</v>
      </c>
      <c r="Q49" s="91" t="s">
        <v>1766</v>
      </c>
      <c r="R49" s="207" t="s">
        <v>1766</v>
      </c>
      <c r="S49" s="214" t="s">
        <v>10</v>
      </c>
      <c r="T49" s="54">
        <v>79</v>
      </c>
      <c r="U49" s="55">
        <v>80</v>
      </c>
      <c r="V49" s="181" t="s">
        <v>2</v>
      </c>
      <c r="W49" s="178" t="s">
        <v>2</v>
      </c>
      <c r="X49" s="179" t="s">
        <v>2</v>
      </c>
      <c r="Y49" s="179" t="s">
        <v>2</v>
      </c>
      <c r="Z49" s="179" t="s">
        <v>2</v>
      </c>
      <c r="AA49" s="32" t="s">
        <v>2</v>
      </c>
      <c r="AB49" s="32" t="s">
        <v>2</v>
      </c>
      <c r="AC49" s="155" t="s">
        <v>2</v>
      </c>
      <c r="AD49" s="37" t="s">
        <v>2</v>
      </c>
      <c r="AE49" s="37" t="s">
        <v>2</v>
      </c>
      <c r="AF49" s="47" t="s">
        <v>2</v>
      </c>
      <c r="AG49" s="37" t="s">
        <v>2</v>
      </c>
      <c r="AH49" s="37" t="s">
        <v>2</v>
      </c>
      <c r="AI49" s="50" t="s">
        <v>2</v>
      </c>
      <c r="AJ49" s="37" t="s">
        <v>2</v>
      </c>
      <c r="AK49" s="37" t="s">
        <v>2</v>
      </c>
      <c r="AL49" s="37"/>
      <c r="AM49" s="37" t="s">
        <v>2</v>
      </c>
      <c r="AN49" s="41"/>
      <c r="AO49" s="41"/>
      <c r="AP49" s="41"/>
      <c r="AQ49" s="41"/>
      <c r="AR49" s="41"/>
      <c r="AS49" s="41"/>
      <c r="AT49" s="41"/>
      <c r="AU49" s="41"/>
      <c r="AV49" s="41"/>
      <c r="AW49" s="41"/>
      <c r="AX49" s="41"/>
      <c r="AY49" s="41"/>
      <c r="AZ49" s="41"/>
      <c r="BA49" s="41"/>
      <c r="BB49" s="41"/>
      <c r="BC49" s="41"/>
      <c r="BD49" s="41"/>
      <c r="BE49" s="41"/>
      <c r="BF49" s="41"/>
      <c r="BG49" s="41"/>
      <c r="BH49" s="41"/>
      <c r="BI49" s="41"/>
      <c r="BJ49" s="41"/>
      <c r="BK49" s="41"/>
      <c r="BL49" s="41"/>
      <c r="BM49" s="41"/>
      <c r="BN49" s="41"/>
      <c r="BO49" s="41"/>
      <c r="BP49" s="41"/>
      <c r="BQ49" s="41"/>
      <c r="BR49" s="41"/>
      <c r="BS49" s="41"/>
      <c r="BT49" s="41"/>
      <c r="BU49" s="41"/>
      <c r="BV49" s="41"/>
    </row>
    <row r="50" spans="1:74" ht="14.1" customHeight="1">
      <c r="A50" s="30"/>
      <c r="B50" s="91" t="s">
        <v>1430</v>
      </c>
      <c r="C50" s="49" t="s">
        <v>267</v>
      </c>
      <c r="D50" s="49" t="s">
        <v>2020</v>
      </c>
      <c r="E50" s="49" t="s">
        <v>2185</v>
      </c>
      <c r="F50" s="91" t="s">
        <v>601</v>
      </c>
      <c r="G50" s="91" t="s">
        <v>1257</v>
      </c>
      <c r="H50" s="182" t="s">
        <v>2313</v>
      </c>
      <c r="I50" s="91" t="s">
        <v>2664</v>
      </c>
      <c r="J50" s="91" t="s">
        <v>2307</v>
      </c>
      <c r="K50" s="91" t="s">
        <v>3190</v>
      </c>
      <c r="L50" s="91" t="s">
        <v>2868</v>
      </c>
      <c r="M50" s="91" t="s">
        <v>699</v>
      </c>
      <c r="N50" s="49" t="s">
        <v>184</v>
      </c>
      <c r="O50" s="91" t="s">
        <v>603</v>
      </c>
      <c r="Q50" s="91" t="s">
        <v>1767</v>
      </c>
      <c r="R50" s="207" t="s">
        <v>1767</v>
      </c>
      <c r="S50" s="214" t="s">
        <v>11</v>
      </c>
      <c r="T50" s="54">
        <v>81</v>
      </c>
      <c r="U50" s="55">
        <v>82</v>
      </c>
      <c r="V50" s="177" t="s">
        <v>10</v>
      </c>
      <c r="W50" s="91" t="s">
        <v>1471</v>
      </c>
      <c r="X50" s="49" t="s">
        <v>338</v>
      </c>
      <c r="Y50" s="49" t="s">
        <v>1975</v>
      </c>
      <c r="Z50" s="49" t="s">
        <v>1969</v>
      </c>
      <c r="AA50" s="35" t="s">
        <v>695</v>
      </c>
      <c r="AB50" s="35" t="s">
        <v>1275</v>
      </c>
      <c r="AC50" s="154" t="s">
        <v>2346</v>
      </c>
      <c r="AD50" s="158" t="s">
        <v>3093</v>
      </c>
      <c r="AE50" s="57" t="s">
        <v>2346</v>
      </c>
      <c r="AF50" s="35" t="s">
        <v>925</v>
      </c>
      <c r="AG50" s="57" t="s">
        <v>2346</v>
      </c>
      <c r="AH50" s="57" t="s">
        <v>599</v>
      </c>
      <c r="AI50" s="81" t="s">
        <v>339</v>
      </c>
      <c r="AJ50" s="57" t="s">
        <v>697</v>
      </c>
      <c r="AK50" s="57"/>
      <c r="AL50" s="57"/>
      <c r="AM50" s="57" t="s">
        <v>697</v>
      </c>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row>
    <row r="51" spans="1:74" ht="14.1" customHeight="1">
      <c r="A51" s="30"/>
      <c r="B51" s="178" t="s">
        <v>2</v>
      </c>
      <c r="C51" s="179" t="s">
        <v>2</v>
      </c>
      <c r="D51" s="179" t="s">
        <v>2</v>
      </c>
      <c r="E51" s="179" t="s">
        <v>2</v>
      </c>
      <c r="F51" s="178" t="s">
        <v>2</v>
      </c>
      <c r="G51" s="178" t="s">
        <v>2</v>
      </c>
      <c r="H51" s="180" t="s">
        <v>2</v>
      </c>
      <c r="I51" s="178" t="s">
        <v>2</v>
      </c>
      <c r="J51" s="178" t="s">
        <v>2</v>
      </c>
      <c r="K51" s="179" t="s">
        <v>2</v>
      </c>
      <c r="L51" s="178" t="s">
        <v>2</v>
      </c>
      <c r="M51" s="178" t="s">
        <v>2</v>
      </c>
      <c r="N51" s="179" t="s">
        <v>2</v>
      </c>
      <c r="O51" s="178" t="s">
        <v>2</v>
      </c>
      <c r="P51" s="178" t="s">
        <v>2</v>
      </c>
      <c r="Q51" s="178" t="s">
        <v>2</v>
      </c>
      <c r="R51" s="206" t="s">
        <v>2</v>
      </c>
      <c r="S51" s="213" t="s">
        <v>2</v>
      </c>
      <c r="T51" s="54">
        <v>83</v>
      </c>
      <c r="U51" s="55">
        <v>84</v>
      </c>
      <c r="V51" s="177" t="s">
        <v>11</v>
      </c>
      <c r="W51" s="91" t="s">
        <v>1470</v>
      </c>
      <c r="X51" s="49" t="s">
        <v>340</v>
      </c>
      <c r="Y51" s="49" t="s">
        <v>1976</v>
      </c>
      <c r="Z51" s="49" t="s">
        <v>1970</v>
      </c>
      <c r="AA51" s="35" t="s">
        <v>698</v>
      </c>
      <c r="AB51" s="35" t="s">
        <v>1276</v>
      </c>
      <c r="AC51" s="154" t="s">
        <v>2347</v>
      </c>
      <c r="AD51" s="158" t="s">
        <v>3094</v>
      </c>
      <c r="AE51" s="57" t="s">
        <v>2347</v>
      </c>
      <c r="AF51" s="35" t="s">
        <v>926</v>
      </c>
      <c r="AG51" s="57" t="s">
        <v>2347</v>
      </c>
      <c r="AH51" s="57" t="s">
        <v>602</v>
      </c>
      <c r="AI51" s="81" t="s">
        <v>341</v>
      </c>
      <c r="AJ51" s="57" t="s">
        <v>700</v>
      </c>
      <c r="AK51" s="57"/>
      <c r="AL51" s="57"/>
      <c r="AM51" s="57" t="s">
        <v>700</v>
      </c>
      <c r="AN51" s="41"/>
      <c r="AO51" s="41"/>
      <c r="AP51" s="41"/>
      <c r="AQ51" s="41"/>
      <c r="AR51" s="41"/>
      <c r="AS51" s="41"/>
      <c r="AT51" s="41"/>
      <c r="AU51" s="41"/>
      <c r="AV51" s="41"/>
      <c r="AW51" s="41"/>
      <c r="AX51" s="41"/>
      <c r="AY51" s="41"/>
      <c r="AZ51" s="41"/>
      <c r="BA51" s="41"/>
      <c r="BB51" s="41"/>
      <c r="BC51" s="41"/>
      <c r="BD51" s="41"/>
      <c r="BE51" s="41"/>
      <c r="BF51" s="41"/>
      <c r="BG51" s="41"/>
      <c r="BH51" s="41"/>
      <c r="BI51" s="41"/>
      <c r="BJ51" s="41"/>
      <c r="BK51" s="41"/>
      <c r="BL51" s="41"/>
      <c r="BM51" s="41"/>
      <c r="BN51" s="41"/>
      <c r="BO51" s="41"/>
      <c r="BP51" s="41"/>
      <c r="BQ51" s="41"/>
      <c r="BR51" s="41"/>
      <c r="BS51" s="41"/>
      <c r="BT51" s="41"/>
      <c r="BU51" s="41"/>
      <c r="BV51" s="41"/>
    </row>
    <row r="52" spans="1:74" ht="14.1" customHeight="1">
      <c r="A52" s="30"/>
      <c r="B52" s="93" t="s">
        <v>1437</v>
      </c>
      <c r="C52" s="48" t="s">
        <v>2058</v>
      </c>
      <c r="D52" s="48" t="s">
        <v>2021</v>
      </c>
      <c r="E52" s="48" t="s">
        <v>1953</v>
      </c>
      <c r="F52" s="93" t="s">
        <v>604</v>
      </c>
      <c r="G52" s="93" t="s">
        <v>1216</v>
      </c>
      <c r="H52" s="184" t="s">
        <v>2314</v>
      </c>
      <c r="I52" s="93" t="s">
        <v>2649</v>
      </c>
      <c r="J52" s="93" t="s">
        <v>2336</v>
      </c>
      <c r="K52" s="93" t="s">
        <v>3191</v>
      </c>
      <c r="L52" s="93" t="s">
        <v>2869</v>
      </c>
      <c r="M52" s="93" t="s">
        <v>634</v>
      </c>
      <c r="N52" s="48" t="s">
        <v>233</v>
      </c>
      <c r="O52" s="91" t="s">
        <v>324</v>
      </c>
      <c r="Q52" s="91" t="s">
        <v>1768</v>
      </c>
      <c r="R52" s="207" t="s">
        <v>1768</v>
      </c>
      <c r="S52" s="215" t="s">
        <v>30</v>
      </c>
      <c r="T52" s="54">
        <v>85</v>
      </c>
      <c r="U52" s="55">
        <v>86</v>
      </c>
      <c r="V52" s="175" t="s">
        <v>261</v>
      </c>
      <c r="W52" s="172" t="s">
        <v>3</v>
      </c>
      <c r="X52" s="173" t="s">
        <v>3</v>
      </c>
      <c r="Y52" s="173" t="s">
        <v>3</v>
      </c>
      <c r="Z52" s="173" t="s">
        <v>3</v>
      </c>
      <c r="AA52" s="36" t="s">
        <v>3</v>
      </c>
      <c r="AB52" s="36" t="s">
        <v>3</v>
      </c>
      <c r="AC52" s="153" t="s">
        <v>3</v>
      </c>
      <c r="AD52" s="38" t="s">
        <v>3</v>
      </c>
      <c r="AE52" s="38" t="s">
        <v>3</v>
      </c>
      <c r="AF52" s="45" t="s">
        <v>3</v>
      </c>
      <c r="AG52" s="38" t="s">
        <v>3</v>
      </c>
      <c r="AH52" s="38" t="s">
        <v>3</v>
      </c>
      <c r="AI52" s="51" t="s">
        <v>3</v>
      </c>
      <c r="AJ52" s="38" t="s">
        <v>541</v>
      </c>
      <c r="AK52" s="38" t="s">
        <v>541</v>
      </c>
      <c r="AL52" s="38"/>
      <c r="AM52" s="38" t="s">
        <v>541</v>
      </c>
      <c r="AN52" s="41"/>
      <c r="AO52" s="41"/>
      <c r="AP52" s="41"/>
      <c r="AQ52" s="41"/>
      <c r="AR52" s="41"/>
      <c r="AS52" s="41"/>
      <c r="AT52" s="41"/>
      <c r="AU52" s="41"/>
      <c r="AV52" s="41"/>
      <c r="AW52" s="41"/>
      <c r="AX52" s="41"/>
      <c r="AY52" s="41"/>
      <c r="AZ52" s="41"/>
      <c r="BA52" s="41"/>
      <c r="BB52" s="41"/>
      <c r="BC52" s="41"/>
      <c r="BD52" s="41"/>
      <c r="BE52" s="41"/>
      <c r="BF52" s="41"/>
      <c r="BG52" s="41"/>
      <c r="BH52" s="41"/>
      <c r="BI52" s="41"/>
      <c r="BJ52" s="41"/>
      <c r="BK52" s="41"/>
      <c r="BL52" s="41"/>
      <c r="BM52" s="41"/>
      <c r="BN52" s="41"/>
      <c r="BO52" s="41"/>
      <c r="BP52" s="41"/>
      <c r="BQ52" s="41"/>
      <c r="BR52" s="41"/>
      <c r="BS52" s="41"/>
      <c r="BT52" s="41"/>
      <c r="BU52" s="41"/>
      <c r="BV52" s="41"/>
    </row>
    <row r="53" spans="1:74" ht="14.1" customHeight="1">
      <c r="A53" s="30"/>
      <c r="B53" s="93" t="s">
        <v>1436</v>
      </c>
      <c r="C53" s="48" t="s">
        <v>2059</v>
      </c>
      <c r="D53" s="48" t="s">
        <v>2022</v>
      </c>
      <c r="E53" s="48" t="s">
        <v>1954</v>
      </c>
      <c r="F53" s="93" t="s">
        <v>606</v>
      </c>
      <c r="G53" s="93" t="s">
        <v>1217</v>
      </c>
      <c r="H53" s="184" t="s">
        <v>2315</v>
      </c>
      <c r="I53" s="93" t="s">
        <v>2650</v>
      </c>
      <c r="J53" s="93" t="s">
        <v>2337</v>
      </c>
      <c r="K53" s="93" t="s">
        <v>3192</v>
      </c>
      <c r="L53" s="93" t="s">
        <v>2870</v>
      </c>
      <c r="M53" s="93" t="s">
        <v>636</v>
      </c>
      <c r="N53" s="48" t="s">
        <v>234</v>
      </c>
      <c r="O53" s="91" t="s">
        <v>325</v>
      </c>
      <c r="Q53" s="91" t="s">
        <v>1769</v>
      </c>
      <c r="R53" s="207" t="s">
        <v>1769</v>
      </c>
      <c r="S53" s="215" t="s">
        <v>31</v>
      </c>
      <c r="T53" s="54">
        <v>87</v>
      </c>
      <c r="U53" s="55">
        <v>88</v>
      </c>
      <c r="V53" s="177" t="s">
        <v>10</v>
      </c>
      <c r="W53" s="91" t="s">
        <v>1473</v>
      </c>
      <c r="X53" s="49" t="s">
        <v>342</v>
      </c>
      <c r="Y53" s="49" t="s">
        <v>1977</v>
      </c>
      <c r="Z53" s="48" t="s">
        <v>2195</v>
      </c>
      <c r="AA53" s="35" t="s">
        <v>701</v>
      </c>
      <c r="AB53" s="35" t="s">
        <v>701</v>
      </c>
      <c r="AC53" s="154" t="s">
        <v>2348</v>
      </c>
      <c r="AD53" s="82" t="s">
        <v>2743</v>
      </c>
      <c r="AE53" s="57" t="s">
        <v>3139</v>
      </c>
      <c r="AF53" s="35" t="s">
        <v>931</v>
      </c>
      <c r="AG53" s="57" t="s">
        <v>2893</v>
      </c>
      <c r="AH53" s="84" t="s">
        <v>2765</v>
      </c>
      <c r="AI53" s="81" t="s">
        <v>343</v>
      </c>
      <c r="AJ53" s="57" t="s">
        <v>702</v>
      </c>
      <c r="AK53" s="57"/>
      <c r="AL53" s="57"/>
      <c r="AM53" s="57" t="s">
        <v>702</v>
      </c>
      <c r="AN53" s="41"/>
      <c r="AO53" s="41"/>
      <c r="AP53" s="41"/>
      <c r="AQ53" s="41"/>
      <c r="AR53" s="41"/>
      <c r="AS53" s="41"/>
      <c r="AT53" s="41"/>
      <c r="AU53" s="41"/>
      <c r="AV53" s="41"/>
      <c r="AW53" s="41"/>
      <c r="AX53" s="41"/>
      <c r="AY53" s="41"/>
      <c r="AZ53" s="41"/>
      <c r="BA53" s="41"/>
      <c r="BB53" s="41"/>
      <c r="BC53" s="41"/>
      <c r="BD53" s="41"/>
      <c r="BE53" s="41"/>
      <c r="BF53" s="41"/>
      <c r="BG53" s="41"/>
      <c r="BH53" s="41"/>
      <c r="BI53" s="41"/>
      <c r="BJ53" s="41"/>
      <c r="BK53" s="41"/>
      <c r="BL53" s="41"/>
      <c r="BM53" s="41"/>
      <c r="BN53" s="41"/>
      <c r="BO53" s="41"/>
      <c r="BP53" s="41"/>
      <c r="BQ53" s="41"/>
      <c r="BR53" s="41"/>
      <c r="BS53" s="41"/>
      <c r="BT53" s="41"/>
      <c r="BU53" s="41"/>
      <c r="BV53" s="41"/>
    </row>
    <row r="54" spans="1:74" ht="14.1" customHeight="1">
      <c r="A54" s="30"/>
      <c r="B54" s="172" t="s">
        <v>4</v>
      </c>
      <c r="C54" s="173" t="s">
        <v>236</v>
      </c>
      <c r="D54" s="173" t="s">
        <v>236</v>
      </c>
      <c r="E54" s="173" t="s">
        <v>236</v>
      </c>
      <c r="F54" s="172" t="s">
        <v>236</v>
      </c>
      <c r="G54" s="172" t="s">
        <v>236</v>
      </c>
      <c r="H54" s="176" t="s">
        <v>236</v>
      </c>
      <c r="I54" s="176" t="s">
        <v>236</v>
      </c>
      <c r="J54" s="172" t="s">
        <v>236</v>
      </c>
      <c r="K54" s="173" t="s">
        <v>236</v>
      </c>
      <c r="L54" s="172" t="s">
        <v>236</v>
      </c>
      <c r="M54" s="172" t="s">
        <v>236</v>
      </c>
      <c r="N54" s="173" t="s">
        <v>268</v>
      </c>
      <c r="O54" s="172" t="s">
        <v>570</v>
      </c>
      <c r="P54" s="172" t="s">
        <v>570</v>
      </c>
      <c r="Q54" s="172" t="s">
        <v>570</v>
      </c>
      <c r="R54" s="205" t="s">
        <v>570</v>
      </c>
      <c r="S54" s="212" t="s">
        <v>6</v>
      </c>
      <c r="T54" s="54">
        <v>89</v>
      </c>
      <c r="U54" s="55">
        <v>90</v>
      </c>
      <c r="V54" s="177" t="s">
        <v>11</v>
      </c>
      <c r="W54" s="91" t="s">
        <v>1472</v>
      </c>
      <c r="X54" s="49" t="s">
        <v>344</v>
      </c>
      <c r="Y54" s="49" t="s">
        <v>1978</v>
      </c>
      <c r="Z54" s="48" t="s">
        <v>2196</v>
      </c>
      <c r="AA54" s="35" t="s">
        <v>703</v>
      </c>
      <c r="AB54" s="35" t="s">
        <v>703</v>
      </c>
      <c r="AC54" s="154" t="s">
        <v>2349</v>
      </c>
      <c r="AD54" s="82" t="s">
        <v>2744</v>
      </c>
      <c r="AE54" s="57" t="s">
        <v>2348</v>
      </c>
      <c r="AF54" s="35" t="s">
        <v>932</v>
      </c>
      <c r="AG54" s="57" t="s">
        <v>2894</v>
      </c>
      <c r="AH54" s="84" t="s">
        <v>2766</v>
      </c>
      <c r="AI54" s="81" t="s">
        <v>345</v>
      </c>
      <c r="AJ54" s="57" t="s">
        <v>704</v>
      </c>
      <c r="AK54" s="57"/>
      <c r="AL54" s="57"/>
      <c r="AM54" s="57" t="s">
        <v>704</v>
      </c>
      <c r="AN54" s="41"/>
      <c r="AO54" s="41"/>
      <c r="AP54" s="41"/>
      <c r="AQ54" s="41"/>
      <c r="AR54" s="41"/>
      <c r="AS54" s="41"/>
      <c r="AT54" s="41"/>
      <c r="AU54" s="41"/>
      <c r="AV54" s="41"/>
      <c r="AW54" s="41"/>
      <c r="AX54" s="41"/>
      <c r="AY54" s="41"/>
      <c r="AZ54" s="41"/>
      <c r="BA54" s="41"/>
      <c r="BB54" s="41"/>
      <c r="BC54" s="41"/>
      <c r="BD54" s="41"/>
      <c r="BE54" s="41"/>
      <c r="BF54" s="41"/>
      <c r="BG54" s="41"/>
      <c r="BH54" s="41"/>
      <c r="BI54" s="41"/>
      <c r="BJ54" s="41"/>
      <c r="BK54" s="41"/>
      <c r="BL54" s="41"/>
      <c r="BM54" s="41"/>
      <c r="BN54" s="41"/>
      <c r="BO54" s="41"/>
      <c r="BP54" s="41"/>
      <c r="BQ54" s="41"/>
      <c r="BR54" s="41"/>
      <c r="BS54" s="41"/>
      <c r="BT54" s="41"/>
      <c r="BU54" s="41"/>
      <c r="BV54" s="41"/>
    </row>
    <row r="55" spans="1:74" ht="14.1" customHeight="1">
      <c r="A55" s="30"/>
      <c r="B55" s="91" t="s">
        <v>1467</v>
      </c>
      <c r="C55" s="49" t="s">
        <v>269</v>
      </c>
      <c r="D55" s="49" t="s">
        <v>2023</v>
      </c>
      <c r="E55" s="49" t="s">
        <v>2189</v>
      </c>
      <c r="F55" s="91" t="s">
        <v>610</v>
      </c>
      <c r="G55" s="91" t="s">
        <v>608</v>
      </c>
      <c r="H55" s="182" t="s">
        <v>2316</v>
      </c>
      <c r="I55" s="182" t="s">
        <v>2316</v>
      </c>
      <c r="J55" s="91" t="s">
        <v>2316</v>
      </c>
      <c r="K55" s="49" t="s">
        <v>3193</v>
      </c>
      <c r="L55" s="91" t="s">
        <v>2316</v>
      </c>
      <c r="M55" s="91" t="s">
        <v>609</v>
      </c>
      <c r="N55" s="49" t="s">
        <v>177</v>
      </c>
      <c r="O55" s="91" t="s">
        <v>610</v>
      </c>
      <c r="Q55" s="91" t="s">
        <v>610</v>
      </c>
      <c r="R55" s="207" t="s">
        <v>610</v>
      </c>
      <c r="S55" s="214" t="s">
        <v>10</v>
      </c>
      <c r="T55" s="54">
        <v>91</v>
      </c>
      <c r="U55" s="55">
        <v>92</v>
      </c>
      <c r="V55" s="177" t="s">
        <v>10</v>
      </c>
      <c r="W55" s="91" t="s">
        <v>1459</v>
      </c>
      <c r="X55" s="49" t="s">
        <v>346</v>
      </c>
      <c r="Y55" s="49" t="s">
        <v>1979</v>
      </c>
      <c r="Z55" s="49" t="s">
        <v>2199</v>
      </c>
      <c r="AA55" s="35" t="s">
        <v>705</v>
      </c>
      <c r="AB55" s="35" t="s">
        <v>705</v>
      </c>
      <c r="AC55" s="154" t="s">
        <v>2350</v>
      </c>
      <c r="AD55" s="82" t="s">
        <v>2745</v>
      </c>
      <c r="AE55" s="57" t="s">
        <v>3140</v>
      </c>
      <c r="AF55" s="35" t="s">
        <v>929</v>
      </c>
      <c r="AG55" s="57" t="s">
        <v>2895</v>
      </c>
      <c r="AH55" s="57" t="s">
        <v>2767</v>
      </c>
      <c r="AI55" s="81" t="s">
        <v>347</v>
      </c>
      <c r="AJ55" s="57" t="s">
        <v>706</v>
      </c>
      <c r="AK55" s="57"/>
      <c r="AL55" s="57"/>
      <c r="AM55" s="57" t="s">
        <v>706</v>
      </c>
      <c r="AN55" s="41"/>
      <c r="AO55" s="41"/>
      <c r="AP55" s="41"/>
      <c r="AQ55" s="41"/>
      <c r="AR55" s="41"/>
      <c r="AS55" s="41"/>
      <c r="AT55" s="41"/>
      <c r="AU55" s="41"/>
      <c r="AV55" s="41"/>
      <c r="AW55" s="41"/>
      <c r="AX55" s="41"/>
      <c r="AY55" s="41"/>
      <c r="AZ55" s="41"/>
      <c r="BA55" s="41"/>
      <c r="BB55" s="41"/>
      <c r="BC55" s="41"/>
      <c r="BD55" s="41"/>
      <c r="BE55" s="41"/>
      <c r="BF55" s="41"/>
      <c r="BG55" s="41"/>
      <c r="BH55" s="41"/>
      <c r="BI55" s="41"/>
      <c r="BJ55" s="41"/>
      <c r="BK55" s="41"/>
      <c r="BL55" s="41"/>
      <c r="BM55" s="41"/>
      <c r="BN55" s="41"/>
      <c r="BO55" s="41"/>
      <c r="BP55" s="41"/>
      <c r="BQ55" s="41"/>
      <c r="BR55" s="41"/>
      <c r="BS55" s="41"/>
      <c r="BT55" s="41"/>
      <c r="BU55" s="41"/>
      <c r="BV55" s="41"/>
    </row>
    <row r="56" spans="1:74" ht="14.1" customHeight="1">
      <c r="A56" s="30"/>
      <c r="B56" s="91" t="s">
        <v>1468</v>
      </c>
      <c r="C56" s="49" t="s">
        <v>270</v>
      </c>
      <c r="D56" s="49" t="s">
        <v>2024</v>
      </c>
      <c r="E56" s="49" t="s">
        <v>2190</v>
      </c>
      <c r="F56" s="91" t="s">
        <v>611</v>
      </c>
      <c r="G56" s="91" t="s">
        <v>611</v>
      </c>
      <c r="H56" s="182" t="s">
        <v>2317</v>
      </c>
      <c r="I56" s="182" t="s">
        <v>2317</v>
      </c>
      <c r="J56" s="91" t="s">
        <v>2317</v>
      </c>
      <c r="K56" s="49" t="s">
        <v>3194</v>
      </c>
      <c r="L56" s="91" t="s">
        <v>2317</v>
      </c>
      <c r="M56" s="91" t="s">
        <v>612</v>
      </c>
      <c r="N56" s="49" t="s">
        <v>178</v>
      </c>
      <c r="O56" s="91" t="s">
        <v>613</v>
      </c>
      <c r="Q56" s="91" t="s">
        <v>613</v>
      </c>
      <c r="R56" s="207" t="s">
        <v>613</v>
      </c>
      <c r="S56" s="214" t="s">
        <v>11</v>
      </c>
      <c r="T56" s="54">
        <v>93</v>
      </c>
      <c r="U56" s="55">
        <v>94</v>
      </c>
      <c r="V56" s="177" t="s">
        <v>11</v>
      </c>
      <c r="W56" s="91" t="s">
        <v>1458</v>
      </c>
      <c r="X56" s="49" t="s">
        <v>348</v>
      </c>
      <c r="Y56" s="49" t="s">
        <v>1980</v>
      </c>
      <c r="Z56" s="49" t="s">
        <v>2200</v>
      </c>
      <c r="AA56" s="35" t="s">
        <v>1007</v>
      </c>
      <c r="AB56" s="35" t="s">
        <v>1007</v>
      </c>
      <c r="AC56" s="154" t="s">
        <v>2351</v>
      </c>
      <c r="AD56" s="82" t="s">
        <v>2746</v>
      </c>
      <c r="AE56" s="57" t="s">
        <v>2349</v>
      </c>
      <c r="AF56" s="35" t="s">
        <v>930</v>
      </c>
      <c r="AG56" s="57" t="s">
        <v>2896</v>
      </c>
      <c r="AH56" s="57" t="s">
        <v>2768</v>
      </c>
      <c r="AI56" s="81" t="s">
        <v>349</v>
      </c>
      <c r="AJ56" s="57" t="s">
        <v>707</v>
      </c>
      <c r="AK56" s="57"/>
      <c r="AL56" s="57"/>
      <c r="AM56" s="57" t="s">
        <v>707</v>
      </c>
      <c r="AN56" s="41"/>
      <c r="AO56" s="41"/>
      <c r="AP56" s="41"/>
      <c r="AQ56" s="41"/>
      <c r="AR56" s="41"/>
      <c r="AS56" s="41"/>
      <c r="AT56" s="41"/>
      <c r="AU56" s="41"/>
      <c r="AV56" s="41"/>
      <c r="AW56" s="41"/>
      <c r="AX56" s="41"/>
      <c r="AY56" s="41"/>
      <c r="AZ56" s="41"/>
      <c r="BA56" s="41"/>
      <c r="BB56" s="41"/>
      <c r="BC56" s="41"/>
      <c r="BD56" s="41"/>
      <c r="BE56" s="41"/>
      <c r="BF56" s="41"/>
      <c r="BG56" s="41"/>
      <c r="BH56" s="41"/>
      <c r="BI56" s="41"/>
      <c r="BJ56" s="41"/>
      <c r="BK56" s="41"/>
      <c r="BL56" s="41"/>
      <c r="BM56" s="41"/>
      <c r="BN56" s="41"/>
      <c r="BO56" s="41"/>
      <c r="BP56" s="41"/>
      <c r="BQ56" s="41"/>
      <c r="BR56" s="41"/>
      <c r="BS56" s="41"/>
      <c r="BT56" s="41"/>
      <c r="BU56" s="41"/>
      <c r="BV56" s="41"/>
    </row>
    <row r="57" spans="1:74" ht="14.1" customHeight="1">
      <c r="A57" s="30"/>
      <c r="B57" s="91" t="s">
        <v>1469</v>
      </c>
      <c r="C57" s="49" t="s">
        <v>271</v>
      </c>
      <c r="D57" s="49" t="s">
        <v>2025</v>
      </c>
      <c r="E57" s="49" t="s">
        <v>2193</v>
      </c>
      <c r="F57" s="91" t="s">
        <v>614</v>
      </c>
      <c r="G57" s="91" t="s">
        <v>614</v>
      </c>
      <c r="H57" s="182" t="s">
        <v>2318</v>
      </c>
      <c r="I57" s="182" t="s">
        <v>2318</v>
      </c>
      <c r="J57" s="91" t="s">
        <v>2318</v>
      </c>
      <c r="K57" s="49" t="s">
        <v>3195</v>
      </c>
      <c r="L57" s="91" t="s">
        <v>2318</v>
      </c>
      <c r="M57" s="91" t="s">
        <v>615</v>
      </c>
      <c r="N57" s="49" t="s">
        <v>185</v>
      </c>
      <c r="O57" s="91" t="s">
        <v>616</v>
      </c>
      <c r="Q57" s="91" t="s">
        <v>616</v>
      </c>
      <c r="R57" s="207" t="s">
        <v>616</v>
      </c>
      <c r="S57" s="214" t="s">
        <v>10</v>
      </c>
      <c r="T57" s="54">
        <v>95</v>
      </c>
      <c r="U57" s="55">
        <v>96</v>
      </c>
      <c r="V57" s="181" t="s">
        <v>2</v>
      </c>
      <c r="W57" s="178" t="s">
        <v>2</v>
      </c>
      <c r="X57" s="179" t="s">
        <v>2</v>
      </c>
      <c r="Y57" s="179" t="s">
        <v>2</v>
      </c>
      <c r="Z57" s="179" t="s">
        <v>2</v>
      </c>
      <c r="AA57" s="32" t="s">
        <v>2</v>
      </c>
      <c r="AB57" s="32" t="s">
        <v>2</v>
      </c>
      <c r="AC57" s="155" t="s">
        <v>2</v>
      </c>
      <c r="AD57" s="37" t="s">
        <v>2</v>
      </c>
      <c r="AE57" s="37" t="s">
        <v>2</v>
      </c>
      <c r="AF57" s="47" t="s">
        <v>2</v>
      </c>
      <c r="AG57" s="37" t="s">
        <v>2</v>
      </c>
      <c r="AH57" s="37" t="s">
        <v>2</v>
      </c>
      <c r="AI57" s="50" t="s">
        <v>2</v>
      </c>
      <c r="AJ57" s="37" t="s">
        <v>2</v>
      </c>
      <c r="AK57" s="37" t="s">
        <v>2</v>
      </c>
      <c r="AL57" s="37"/>
      <c r="AM57" s="37" t="s">
        <v>2</v>
      </c>
      <c r="AN57" s="41"/>
      <c r="AO57" s="41"/>
      <c r="AP57" s="41"/>
      <c r="AQ57" s="41"/>
      <c r="AR57" s="41"/>
      <c r="AS57" s="41"/>
      <c r="AT57" s="41"/>
      <c r="AU57" s="41"/>
      <c r="AV57" s="41"/>
      <c r="AW57" s="41"/>
      <c r="AX57" s="41"/>
      <c r="AY57" s="41"/>
      <c r="AZ57" s="41"/>
      <c r="BA57" s="41"/>
      <c r="BB57" s="41"/>
      <c r="BC57" s="41"/>
      <c r="BD57" s="41"/>
      <c r="BE57" s="41"/>
      <c r="BF57" s="41"/>
      <c r="BG57" s="41"/>
      <c r="BH57" s="41"/>
      <c r="BI57" s="41"/>
      <c r="BJ57" s="41"/>
      <c r="BK57" s="41"/>
      <c r="BL57" s="41"/>
      <c r="BM57" s="41"/>
      <c r="BN57" s="41"/>
      <c r="BO57" s="41"/>
      <c r="BP57" s="41"/>
      <c r="BQ57" s="41"/>
      <c r="BR57" s="41"/>
      <c r="BS57" s="41"/>
      <c r="BT57" s="41"/>
      <c r="BU57" s="41"/>
      <c r="BV57" s="41"/>
    </row>
    <row r="58" spans="1:74" ht="14.1" customHeight="1">
      <c r="A58" s="30"/>
      <c r="B58" s="91" t="s">
        <v>1466</v>
      </c>
      <c r="C58" s="49" t="s">
        <v>272</v>
      </c>
      <c r="D58" s="49" t="s">
        <v>2026</v>
      </c>
      <c r="E58" s="49" t="s">
        <v>2194</v>
      </c>
      <c r="F58" s="91" t="s">
        <v>617</v>
      </c>
      <c r="G58" s="91" t="s">
        <v>617</v>
      </c>
      <c r="H58" s="182" t="s">
        <v>2319</v>
      </c>
      <c r="I58" s="182" t="s">
        <v>2319</v>
      </c>
      <c r="J58" s="91" t="s">
        <v>2319</v>
      </c>
      <c r="K58" s="49" t="s">
        <v>3196</v>
      </c>
      <c r="L58" s="91" t="s">
        <v>2319</v>
      </c>
      <c r="M58" s="91" t="s">
        <v>618</v>
      </c>
      <c r="N58" s="49" t="s">
        <v>186</v>
      </c>
      <c r="O58" s="91" t="s">
        <v>619</v>
      </c>
      <c r="Q58" s="91" t="s">
        <v>619</v>
      </c>
      <c r="R58" s="207" t="s">
        <v>619</v>
      </c>
      <c r="S58" s="214" t="s">
        <v>11</v>
      </c>
      <c r="T58" s="54">
        <v>97</v>
      </c>
      <c r="U58" s="55">
        <v>98</v>
      </c>
      <c r="V58" s="177" t="s">
        <v>10</v>
      </c>
      <c r="W58" s="91" t="s">
        <v>1461</v>
      </c>
      <c r="X58" s="49" t="s">
        <v>350</v>
      </c>
      <c r="Y58" s="49" t="s">
        <v>1981</v>
      </c>
      <c r="Z58" s="49" t="s">
        <v>2187</v>
      </c>
      <c r="AA58" s="35" t="s">
        <v>708</v>
      </c>
      <c r="AB58" s="35" t="s">
        <v>708</v>
      </c>
      <c r="AC58" s="154" t="s">
        <v>2352</v>
      </c>
      <c r="AD58" s="154" t="s">
        <v>2352</v>
      </c>
      <c r="AE58" s="57" t="s">
        <v>2352</v>
      </c>
      <c r="AF58" s="46" t="s">
        <v>1376</v>
      </c>
      <c r="AG58" s="57" t="s">
        <v>2352</v>
      </c>
      <c r="AH58" s="57" t="s">
        <v>709</v>
      </c>
      <c r="AI58" s="81" t="s">
        <v>351</v>
      </c>
      <c r="AJ58" s="57" t="s">
        <v>2048</v>
      </c>
      <c r="AK58" s="57" t="s">
        <v>2048</v>
      </c>
      <c r="AL58" s="57"/>
      <c r="AM58" s="57" t="s">
        <v>710</v>
      </c>
      <c r="AN58" s="41"/>
      <c r="AO58" s="41"/>
      <c r="AP58" s="41"/>
      <c r="AQ58" s="41"/>
      <c r="AR58" s="41"/>
      <c r="AS58" s="41"/>
      <c r="AT58" s="41"/>
      <c r="AU58" s="41"/>
      <c r="AV58" s="41"/>
      <c r="AW58" s="41"/>
      <c r="AX58" s="41"/>
      <c r="AY58" s="41"/>
      <c r="AZ58" s="41"/>
      <c r="BA58" s="41"/>
      <c r="BB58" s="41"/>
      <c r="BC58" s="41"/>
      <c r="BD58" s="41"/>
      <c r="BE58" s="41"/>
      <c r="BF58" s="41"/>
      <c r="BG58" s="41"/>
      <c r="BH58" s="41"/>
      <c r="BI58" s="41"/>
      <c r="BJ58" s="41"/>
      <c r="BK58" s="41"/>
      <c r="BL58" s="41"/>
      <c r="BM58" s="41"/>
      <c r="BN58" s="41"/>
      <c r="BO58" s="41"/>
      <c r="BP58" s="41"/>
      <c r="BQ58" s="41"/>
      <c r="BR58" s="41"/>
      <c r="BS58" s="41"/>
      <c r="BT58" s="41"/>
      <c r="BU58" s="41"/>
      <c r="BV58" s="41"/>
    </row>
    <row r="59" spans="1:74" ht="14.1" customHeight="1">
      <c r="A59" s="30"/>
      <c r="B59" s="178" t="s">
        <v>2</v>
      </c>
      <c r="C59" s="179" t="s">
        <v>2</v>
      </c>
      <c r="D59" s="179" t="s">
        <v>2</v>
      </c>
      <c r="E59" s="179" t="s">
        <v>2</v>
      </c>
      <c r="F59" s="178" t="s">
        <v>2</v>
      </c>
      <c r="G59" s="178" t="s">
        <v>2</v>
      </c>
      <c r="H59" s="180" t="s">
        <v>2</v>
      </c>
      <c r="I59" s="180" t="s">
        <v>2</v>
      </c>
      <c r="J59" s="178" t="s">
        <v>2</v>
      </c>
      <c r="K59" s="179" t="s">
        <v>2</v>
      </c>
      <c r="L59" s="178" t="s">
        <v>2</v>
      </c>
      <c r="M59" s="178" t="s">
        <v>2</v>
      </c>
      <c r="N59" s="179" t="s">
        <v>2</v>
      </c>
      <c r="O59" s="178" t="s">
        <v>2</v>
      </c>
      <c r="P59" s="178" t="s">
        <v>2</v>
      </c>
      <c r="Q59" s="178" t="s">
        <v>2</v>
      </c>
      <c r="R59" s="206" t="s">
        <v>2</v>
      </c>
      <c r="S59" s="213" t="s">
        <v>2</v>
      </c>
      <c r="T59" s="54">
        <v>99</v>
      </c>
      <c r="U59" s="55">
        <v>100</v>
      </c>
      <c r="V59" s="177" t="s">
        <v>11</v>
      </c>
      <c r="W59" s="91" t="s">
        <v>1460</v>
      </c>
      <c r="X59" s="49" t="s">
        <v>353</v>
      </c>
      <c r="Y59" s="49" t="s">
        <v>1982</v>
      </c>
      <c r="Z59" s="49" t="s">
        <v>2188</v>
      </c>
      <c r="AA59" s="35" t="s">
        <v>711</v>
      </c>
      <c r="AB59" s="35" t="s">
        <v>711</v>
      </c>
      <c r="AC59" s="154" t="s">
        <v>2353</v>
      </c>
      <c r="AD59" s="154" t="s">
        <v>2353</v>
      </c>
      <c r="AE59" s="57" t="s">
        <v>2353</v>
      </c>
      <c r="AF59" s="46" t="s">
        <v>1377</v>
      </c>
      <c r="AG59" s="57" t="s">
        <v>2353</v>
      </c>
      <c r="AH59" s="57" t="s">
        <v>712</v>
      </c>
      <c r="AI59" s="81" t="s">
        <v>354</v>
      </c>
      <c r="AJ59" s="57" t="s">
        <v>713</v>
      </c>
      <c r="AK59" s="57" t="s">
        <v>713</v>
      </c>
      <c r="AL59" s="57"/>
      <c r="AM59" s="57" t="s">
        <v>713</v>
      </c>
      <c r="AN59" s="41"/>
      <c r="AO59" s="41"/>
      <c r="AP59" s="41"/>
      <c r="AQ59" s="41"/>
      <c r="AR59" s="41"/>
      <c r="AS59" s="41"/>
      <c r="AT59" s="41"/>
      <c r="AU59" s="41"/>
      <c r="AV59" s="41"/>
      <c r="AW59" s="41"/>
      <c r="AX59" s="41"/>
      <c r="AY59" s="41"/>
      <c r="AZ59" s="41"/>
      <c r="BA59" s="41"/>
      <c r="BB59" s="41"/>
      <c r="BC59" s="41"/>
      <c r="BD59" s="41"/>
      <c r="BE59" s="41"/>
      <c r="BF59" s="41"/>
      <c r="BG59" s="41"/>
      <c r="BH59" s="41"/>
      <c r="BI59" s="41"/>
      <c r="BJ59" s="41"/>
      <c r="BK59" s="41"/>
      <c r="BL59" s="41"/>
      <c r="BM59" s="41"/>
      <c r="BN59" s="41"/>
      <c r="BO59" s="41"/>
      <c r="BP59" s="41"/>
      <c r="BQ59" s="41"/>
      <c r="BR59" s="41"/>
      <c r="BS59" s="41"/>
      <c r="BT59" s="41"/>
      <c r="BU59" s="41"/>
      <c r="BV59" s="41"/>
    </row>
    <row r="60" spans="1:74" ht="14.1" customHeight="1">
      <c r="A60" s="30"/>
      <c r="B60" s="91" t="s">
        <v>1465</v>
      </c>
      <c r="C60" s="49" t="s">
        <v>273</v>
      </c>
      <c r="D60" s="49" t="s">
        <v>2027</v>
      </c>
      <c r="E60" s="49" t="s">
        <v>2191</v>
      </c>
      <c r="F60" s="91" t="s">
        <v>620</v>
      </c>
      <c r="G60" s="91" t="s">
        <v>620</v>
      </c>
      <c r="H60" s="182" t="s">
        <v>2320</v>
      </c>
      <c r="I60" s="182" t="s">
        <v>2320</v>
      </c>
      <c r="J60" s="91" t="s">
        <v>2320</v>
      </c>
      <c r="K60" s="49" t="s">
        <v>3197</v>
      </c>
      <c r="L60" s="91" t="s">
        <v>2320</v>
      </c>
      <c r="M60" s="91" t="s">
        <v>621</v>
      </c>
      <c r="N60" s="49" t="s">
        <v>188</v>
      </c>
      <c r="O60" s="91" t="s">
        <v>622</v>
      </c>
      <c r="Q60" s="91" t="s">
        <v>622</v>
      </c>
      <c r="R60" s="207" t="s">
        <v>622</v>
      </c>
      <c r="S60" s="214" t="s">
        <v>10</v>
      </c>
      <c r="T60" s="54">
        <v>101</v>
      </c>
      <c r="U60" s="55">
        <v>102</v>
      </c>
      <c r="V60" s="175" t="s">
        <v>7</v>
      </c>
      <c r="W60" s="172" t="s">
        <v>2070</v>
      </c>
      <c r="X60" s="179" t="s">
        <v>2</v>
      </c>
      <c r="Y60" s="173" t="s">
        <v>356</v>
      </c>
      <c r="Z60" s="173" t="s">
        <v>356</v>
      </c>
      <c r="AA60" s="36" t="s">
        <v>714</v>
      </c>
      <c r="AB60" s="36" t="s">
        <v>714</v>
      </c>
      <c r="AC60" s="153" t="s">
        <v>2070</v>
      </c>
      <c r="AD60" s="38" t="s">
        <v>2070</v>
      </c>
      <c r="AE60" s="38" t="s">
        <v>2070</v>
      </c>
      <c r="AF60" s="36" t="s">
        <v>356</v>
      </c>
      <c r="AG60" s="38" t="s">
        <v>2070</v>
      </c>
      <c r="AH60" s="38" t="s">
        <v>356</v>
      </c>
      <c r="AI60" s="50" t="s">
        <v>2</v>
      </c>
      <c r="AJ60" s="38" t="s">
        <v>715</v>
      </c>
      <c r="AK60" s="38" t="s">
        <v>715</v>
      </c>
      <c r="AL60" s="38"/>
      <c r="AM60" s="38" t="s">
        <v>715</v>
      </c>
      <c r="AN60" s="41"/>
      <c r="AO60" s="41"/>
      <c r="AP60" s="41"/>
      <c r="AQ60" s="41"/>
      <c r="AR60" s="41"/>
      <c r="AS60" s="41"/>
      <c r="AT60" s="41"/>
      <c r="AU60" s="41"/>
      <c r="AV60" s="41"/>
      <c r="AW60" s="41"/>
      <c r="AX60" s="41"/>
      <c r="AY60" s="41"/>
      <c r="AZ60" s="41"/>
      <c r="BA60" s="41"/>
      <c r="BB60" s="41"/>
      <c r="BC60" s="41"/>
      <c r="BD60" s="41"/>
      <c r="BE60" s="41"/>
      <c r="BF60" s="41"/>
      <c r="BG60" s="41"/>
      <c r="BH60" s="41"/>
      <c r="BI60" s="41"/>
      <c r="BJ60" s="41"/>
      <c r="BK60" s="41"/>
      <c r="BL60" s="41"/>
      <c r="BM60" s="41"/>
      <c r="BN60" s="41"/>
      <c r="BO60" s="41"/>
      <c r="BP60" s="41"/>
      <c r="BQ60" s="41"/>
      <c r="BR60" s="41"/>
      <c r="BS60" s="41"/>
      <c r="BT60" s="41"/>
      <c r="BU60" s="41"/>
      <c r="BV60" s="41"/>
    </row>
    <row r="61" spans="1:74" ht="14.1" customHeight="1">
      <c r="A61" s="30"/>
      <c r="B61" s="91" t="s">
        <v>1464</v>
      </c>
      <c r="C61" s="49" t="s">
        <v>274</v>
      </c>
      <c r="D61" s="49" t="s">
        <v>2028</v>
      </c>
      <c r="E61" s="49" t="s">
        <v>2192</v>
      </c>
      <c r="F61" s="91" t="s">
        <v>623</v>
      </c>
      <c r="G61" s="91" t="s">
        <v>623</v>
      </c>
      <c r="H61" s="182" t="s">
        <v>2321</v>
      </c>
      <c r="I61" s="182" t="s">
        <v>2321</v>
      </c>
      <c r="J61" s="91" t="s">
        <v>2321</v>
      </c>
      <c r="K61" s="91" t="s">
        <v>3198</v>
      </c>
      <c r="L61" s="91" t="s">
        <v>2321</v>
      </c>
      <c r="M61" s="91" t="s">
        <v>624</v>
      </c>
      <c r="N61" s="49" t="s">
        <v>190</v>
      </c>
      <c r="O61" s="91" t="s">
        <v>625</v>
      </c>
      <c r="Q61" s="91" t="s">
        <v>625</v>
      </c>
      <c r="R61" s="207" t="s">
        <v>625</v>
      </c>
      <c r="S61" s="214" t="s">
        <v>11</v>
      </c>
      <c r="T61" s="54">
        <v>103</v>
      </c>
      <c r="U61" s="55">
        <v>104</v>
      </c>
      <c r="V61" s="183" t="s">
        <v>32</v>
      </c>
      <c r="W61" s="91" t="s">
        <v>1463</v>
      </c>
      <c r="X61" s="49" t="s">
        <v>357</v>
      </c>
      <c r="Y61" s="48" t="s">
        <v>1983</v>
      </c>
      <c r="Z61" s="48" t="s">
        <v>2201</v>
      </c>
      <c r="AA61" s="35" t="s">
        <v>716</v>
      </c>
      <c r="AB61" s="35" t="s">
        <v>716</v>
      </c>
      <c r="AC61" s="154" t="s">
        <v>2736</v>
      </c>
      <c r="AD61" s="154" t="s">
        <v>2736</v>
      </c>
      <c r="AE61" s="57" t="s">
        <v>2736</v>
      </c>
      <c r="AF61" s="46" t="s">
        <v>1378</v>
      </c>
      <c r="AG61" s="57" t="s">
        <v>2736</v>
      </c>
      <c r="AH61" s="57" t="s">
        <v>717</v>
      </c>
      <c r="AI61" s="81" t="s">
        <v>358</v>
      </c>
      <c r="AJ61" s="57" t="s">
        <v>718</v>
      </c>
      <c r="AK61" s="57" t="s">
        <v>718</v>
      </c>
      <c r="AL61" s="57"/>
      <c r="AM61" s="57" t="s">
        <v>718</v>
      </c>
      <c r="AN61" s="41"/>
      <c r="AO61" s="41"/>
      <c r="AP61" s="41"/>
      <c r="AQ61" s="41"/>
      <c r="AR61" s="41"/>
      <c r="AS61" s="41"/>
      <c r="AT61" s="41"/>
      <c r="AU61" s="41"/>
      <c r="AV61" s="41"/>
      <c r="AW61" s="41"/>
      <c r="AX61" s="41"/>
      <c r="AY61" s="41"/>
      <c r="AZ61" s="41"/>
      <c r="BA61" s="41"/>
      <c r="BB61" s="41"/>
      <c r="BC61" s="41"/>
      <c r="BD61" s="41"/>
      <c r="BE61" s="41"/>
      <c r="BF61" s="41"/>
      <c r="BG61" s="41"/>
      <c r="BH61" s="41"/>
      <c r="BI61" s="41"/>
      <c r="BJ61" s="41"/>
      <c r="BK61" s="41"/>
      <c r="BL61" s="41"/>
      <c r="BM61" s="41"/>
      <c r="BN61" s="41"/>
      <c r="BO61" s="41"/>
      <c r="BP61" s="41"/>
      <c r="BQ61" s="41"/>
      <c r="BR61" s="41"/>
      <c r="BS61" s="41"/>
      <c r="BT61" s="41"/>
      <c r="BU61" s="41"/>
      <c r="BV61" s="41"/>
    </row>
    <row r="62" spans="1:74" ht="14.1" customHeight="1">
      <c r="A62" s="30"/>
      <c r="B62" s="91" t="s">
        <v>2737</v>
      </c>
      <c r="C62" s="49" t="s">
        <v>275</v>
      </c>
      <c r="D62" s="49" t="s">
        <v>2029</v>
      </c>
      <c r="E62" s="49" t="s">
        <v>2197</v>
      </c>
      <c r="F62" s="91" t="s">
        <v>626</v>
      </c>
      <c r="G62" s="91" t="s">
        <v>626</v>
      </c>
      <c r="H62" s="182" t="s">
        <v>2322</v>
      </c>
      <c r="I62" s="182" t="s">
        <v>2322</v>
      </c>
      <c r="J62" s="91" t="s">
        <v>2322</v>
      </c>
      <c r="K62" s="49" t="s">
        <v>3199</v>
      </c>
      <c r="L62" s="91" t="s">
        <v>2322</v>
      </c>
      <c r="M62" s="91" t="s">
        <v>627</v>
      </c>
      <c r="N62" s="49" t="s">
        <v>187</v>
      </c>
      <c r="O62" s="91" t="s">
        <v>352</v>
      </c>
      <c r="Q62" s="91" t="s">
        <v>352</v>
      </c>
      <c r="R62" s="207" t="s">
        <v>352</v>
      </c>
      <c r="S62" s="214" t="s">
        <v>10</v>
      </c>
      <c r="T62" s="54">
        <v>105</v>
      </c>
      <c r="U62" s="55">
        <v>106</v>
      </c>
      <c r="V62" s="183" t="s">
        <v>33</v>
      </c>
      <c r="W62" s="91" t="s">
        <v>1462</v>
      </c>
      <c r="X62" s="49" t="s">
        <v>359</v>
      </c>
      <c r="Y62" s="48" t="s">
        <v>1984</v>
      </c>
      <c r="Z62" s="48" t="s">
        <v>2202</v>
      </c>
      <c r="AA62" s="35" t="s">
        <v>2740</v>
      </c>
      <c r="AB62" s="35" t="s">
        <v>2740</v>
      </c>
      <c r="AC62" s="154" t="s">
        <v>2354</v>
      </c>
      <c r="AD62" s="154" t="s">
        <v>2354</v>
      </c>
      <c r="AE62" s="57" t="s">
        <v>2354</v>
      </c>
      <c r="AF62" s="46" t="s">
        <v>1379</v>
      </c>
      <c r="AG62" s="57" t="s">
        <v>2354</v>
      </c>
      <c r="AH62" s="57" t="s">
        <v>719</v>
      </c>
      <c r="AI62" s="85" t="s">
        <v>360</v>
      </c>
      <c r="AJ62" s="57" t="s">
        <v>2049</v>
      </c>
      <c r="AK62" s="57" t="s">
        <v>2049</v>
      </c>
      <c r="AL62" s="57"/>
      <c r="AM62" s="57" t="s">
        <v>720</v>
      </c>
      <c r="AN62" s="41"/>
      <c r="AO62" s="41"/>
      <c r="AP62" s="41"/>
      <c r="AQ62" s="41"/>
      <c r="AR62" s="41"/>
      <c r="AS62" s="41"/>
      <c r="AT62" s="41"/>
      <c r="AU62" s="41"/>
      <c r="AV62" s="41"/>
      <c r="AW62" s="41"/>
      <c r="AX62" s="41"/>
      <c r="AY62" s="41"/>
      <c r="AZ62" s="41"/>
      <c r="BA62" s="41"/>
      <c r="BB62" s="41"/>
      <c r="BC62" s="41"/>
      <c r="BD62" s="41"/>
      <c r="BE62" s="41"/>
      <c r="BF62" s="41"/>
      <c r="BG62" s="41"/>
      <c r="BH62" s="41"/>
      <c r="BI62" s="41"/>
      <c r="BJ62" s="41"/>
      <c r="BK62" s="41"/>
      <c r="BL62" s="41"/>
      <c r="BM62" s="41"/>
      <c r="BN62" s="41"/>
      <c r="BO62" s="41"/>
      <c r="BP62" s="41"/>
      <c r="BQ62" s="41"/>
      <c r="BR62" s="41"/>
      <c r="BS62" s="41"/>
      <c r="BT62" s="41"/>
      <c r="BU62" s="41"/>
      <c r="BV62" s="41"/>
    </row>
    <row r="63" spans="1:74" ht="14.1" customHeight="1">
      <c r="A63" s="30"/>
      <c r="B63" s="91" t="s">
        <v>2739</v>
      </c>
      <c r="C63" s="49" t="s">
        <v>276</v>
      </c>
      <c r="D63" s="49" t="s">
        <v>2030</v>
      </c>
      <c r="E63" s="49" t="s">
        <v>2198</v>
      </c>
      <c r="F63" s="91" t="s">
        <v>628</v>
      </c>
      <c r="G63" s="91" t="s">
        <v>628</v>
      </c>
      <c r="H63" s="182" t="s">
        <v>2323</v>
      </c>
      <c r="I63" s="182" t="s">
        <v>2323</v>
      </c>
      <c r="J63" s="91" t="s">
        <v>2323</v>
      </c>
      <c r="K63" s="49" t="s">
        <v>3200</v>
      </c>
      <c r="L63" s="91" t="s">
        <v>2323</v>
      </c>
      <c r="M63" s="91" t="s">
        <v>629</v>
      </c>
      <c r="N63" s="49" t="s">
        <v>189</v>
      </c>
      <c r="O63" s="91" t="s">
        <v>355</v>
      </c>
      <c r="Q63" s="91" t="s">
        <v>355</v>
      </c>
      <c r="R63" s="207" t="s">
        <v>355</v>
      </c>
      <c r="S63" s="214" t="s">
        <v>11</v>
      </c>
      <c r="T63" s="54">
        <v>107</v>
      </c>
      <c r="U63" s="55">
        <v>108</v>
      </c>
      <c r="V63" s="181" t="s">
        <v>2</v>
      </c>
      <c r="W63" s="178" t="s">
        <v>2</v>
      </c>
      <c r="X63" s="179" t="s">
        <v>2</v>
      </c>
      <c r="Y63" s="179" t="s">
        <v>2</v>
      </c>
      <c r="Z63" s="179" t="s">
        <v>2</v>
      </c>
      <c r="AA63" s="32" t="s">
        <v>2</v>
      </c>
      <c r="AB63" s="32" t="s">
        <v>2</v>
      </c>
      <c r="AC63" s="155" t="s">
        <v>2</v>
      </c>
      <c r="AD63" s="37" t="s">
        <v>2</v>
      </c>
      <c r="AE63" s="37" t="s">
        <v>2</v>
      </c>
      <c r="AF63" s="47" t="s">
        <v>2</v>
      </c>
      <c r="AG63" s="37" t="s">
        <v>2</v>
      </c>
      <c r="AH63" s="37" t="s">
        <v>2</v>
      </c>
      <c r="AI63" s="50" t="s">
        <v>2</v>
      </c>
      <c r="AJ63" s="37" t="s">
        <v>2</v>
      </c>
      <c r="AK63" s="37" t="s">
        <v>2</v>
      </c>
      <c r="AL63" s="37"/>
      <c r="AM63" s="37" t="s">
        <v>2</v>
      </c>
      <c r="AN63" s="41"/>
      <c r="AO63" s="41"/>
      <c r="AP63" s="41"/>
      <c r="AQ63" s="41"/>
      <c r="AR63" s="41"/>
      <c r="AS63" s="41"/>
      <c r="AT63" s="41"/>
      <c r="AU63" s="41"/>
      <c r="AV63" s="41"/>
      <c r="AW63" s="41"/>
      <c r="AX63" s="41"/>
      <c r="AY63" s="41"/>
      <c r="AZ63" s="41"/>
      <c r="BA63" s="41"/>
      <c r="BB63" s="41"/>
      <c r="BC63" s="41"/>
      <c r="BD63" s="41"/>
      <c r="BE63" s="41"/>
      <c r="BF63" s="41"/>
      <c r="BG63" s="41"/>
      <c r="BH63" s="41"/>
      <c r="BI63" s="41"/>
      <c r="BJ63" s="41"/>
      <c r="BK63" s="41"/>
      <c r="BL63" s="41"/>
      <c r="BM63" s="41"/>
      <c r="BN63" s="41"/>
      <c r="BO63" s="41"/>
      <c r="BP63" s="41"/>
      <c r="BQ63" s="41"/>
      <c r="BR63" s="41"/>
      <c r="BS63" s="41"/>
      <c r="BT63" s="41"/>
      <c r="BU63" s="41"/>
      <c r="BV63" s="41"/>
    </row>
    <row r="64" spans="1:74" ht="14.1" customHeight="1">
      <c r="A64" s="30"/>
      <c r="B64" s="178" t="s">
        <v>2</v>
      </c>
      <c r="C64" s="179" t="s">
        <v>2</v>
      </c>
      <c r="D64" s="179" t="s">
        <v>2</v>
      </c>
      <c r="E64" s="179" t="s">
        <v>2</v>
      </c>
      <c r="F64" s="178" t="s">
        <v>2</v>
      </c>
      <c r="G64" s="178" t="s">
        <v>2</v>
      </c>
      <c r="H64" s="180" t="s">
        <v>2</v>
      </c>
      <c r="I64" s="178" t="s">
        <v>2</v>
      </c>
      <c r="J64" s="178" t="s">
        <v>2</v>
      </c>
      <c r="K64" s="179" t="s">
        <v>2</v>
      </c>
      <c r="L64" s="178" t="s">
        <v>2</v>
      </c>
      <c r="M64" s="178" t="s">
        <v>2</v>
      </c>
      <c r="N64" s="179" t="s">
        <v>2</v>
      </c>
      <c r="O64" s="178" t="s">
        <v>2</v>
      </c>
      <c r="P64" s="178" t="s">
        <v>2</v>
      </c>
      <c r="Q64" s="178" t="s">
        <v>2</v>
      </c>
      <c r="R64" s="206" t="s">
        <v>2</v>
      </c>
      <c r="S64" s="213" t="s">
        <v>2</v>
      </c>
      <c r="T64" s="54">
        <v>109</v>
      </c>
      <c r="U64" s="55">
        <v>110</v>
      </c>
      <c r="V64" s="177" t="s">
        <v>19</v>
      </c>
      <c r="W64" s="91" t="s">
        <v>1277</v>
      </c>
      <c r="X64" s="49" t="s">
        <v>239</v>
      </c>
      <c r="Y64" s="49" t="s">
        <v>1985</v>
      </c>
      <c r="Z64" s="49" t="s">
        <v>1985</v>
      </c>
      <c r="AA64" s="35" t="s">
        <v>721</v>
      </c>
      <c r="AB64" s="35" t="s">
        <v>1277</v>
      </c>
      <c r="AC64" s="154" t="s">
        <v>1277</v>
      </c>
      <c r="AD64" s="57" t="s">
        <v>1277</v>
      </c>
      <c r="AE64" s="57" t="s">
        <v>1277</v>
      </c>
      <c r="AF64" s="49" t="s">
        <v>239</v>
      </c>
      <c r="AG64" s="57" t="s">
        <v>1277</v>
      </c>
      <c r="AH64" s="171" t="s">
        <v>2838</v>
      </c>
      <c r="AI64" s="81" t="s">
        <v>361</v>
      </c>
      <c r="AJ64" s="57" t="s">
        <v>722</v>
      </c>
      <c r="AK64" s="57" t="s">
        <v>722</v>
      </c>
      <c r="AL64" s="57"/>
      <c r="AM64" s="57" t="s">
        <v>722</v>
      </c>
      <c r="AN64" s="41"/>
      <c r="AO64" s="41"/>
      <c r="AP64" s="41"/>
      <c r="AQ64" s="41"/>
      <c r="AR64" s="41"/>
      <c r="AS64" s="41"/>
      <c r="AT64" s="41"/>
      <c r="AU64" s="41"/>
      <c r="AV64" s="41"/>
      <c r="AW64" s="41"/>
      <c r="AX64" s="41"/>
      <c r="AY64" s="41"/>
      <c r="AZ64" s="41"/>
      <c r="BA64" s="41"/>
      <c r="BB64" s="41"/>
      <c r="BC64" s="41"/>
      <c r="BD64" s="41"/>
      <c r="BE64" s="41"/>
      <c r="BF64" s="41"/>
      <c r="BG64" s="41"/>
      <c r="BH64" s="41"/>
      <c r="BI64" s="41"/>
      <c r="BJ64" s="41"/>
      <c r="BK64" s="41"/>
      <c r="BL64" s="41"/>
      <c r="BM64" s="41"/>
      <c r="BN64" s="41"/>
      <c r="BO64" s="41"/>
      <c r="BP64" s="41"/>
      <c r="BQ64" s="41"/>
      <c r="BR64" s="41"/>
      <c r="BS64" s="41"/>
      <c r="BT64" s="41"/>
      <c r="BU64" s="41"/>
      <c r="BV64" s="41"/>
    </row>
    <row r="65" spans="1:74" ht="14.1" customHeight="1">
      <c r="A65" s="30"/>
      <c r="B65" s="91" t="s">
        <v>22</v>
      </c>
      <c r="C65" s="49" t="s">
        <v>22</v>
      </c>
      <c r="D65" s="49" t="s">
        <v>22</v>
      </c>
      <c r="E65" s="49" t="s">
        <v>22</v>
      </c>
      <c r="F65" s="91" t="s">
        <v>22</v>
      </c>
      <c r="G65" s="91" t="s">
        <v>22</v>
      </c>
      <c r="H65" s="182" t="s">
        <v>22</v>
      </c>
      <c r="I65" s="91" t="s">
        <v>22</v>
      </c>
      <c r="J65" s="91" t="s">
        <v>22</v>
      </c>
      <c r="K65" s="49" t="s">
        <v>22</v>
      </c>
      <c r="L65" s="91" t="s">
        <v>22</v>
      </c>
      <c r="M65" s="91" t="s">
        <v>22</v>
      </c>
      <c r="N65" s="49" t="s">
        <v>22</v>
      </c>
      <c r="O65" s="91" t="s">
        <v>22</v>
      </c>
      <c r="P65" s="91" t="s">
        <v>22</v>
      </c>
      <c r="Q65" s="91" t="s">
        <v>22</v>
      </c>
      <c r="R65" s="207" t="s">
        <v>22</v>
      </c>
      <c r="S65" s="214" t="s">
        <v>22</v>
      </c>
      <c r="T65" s="54">
        <v>111</v>
      </c>
      <c r="U65" s="55">
        <v>112</v>
      </c>
      <c r="V65" s="177" t="s">
        <v>19</v>
      </c>
      <c r="W65" s="91" t="s">
        <v>723</v>
      </c>
      <c r="X65" s="49" t="s">
        <v>239</v>
      </c>
      <c r="Y65" s="49" t="s">
        <v>1986</v>
      </c>
      <c r="Z65" s="49" t="s">
        <v>1986</v>
      </c>
      <c r="AA65" s="35" t="s">
        <v>723</v>
      </c>
      <c r="AB65" s="35" t="s">
        <v>723</v>
      </c>
      <c r="AC65" s="154" t="s">
        <v>723</v>
      </c>
      <c r="AD65" s="57" t="s">
        <v>723</v>
      </c>
      <c r="AE65" s="57" t="s">
        <v>723</v>
      </c>
      <c r="AF65" s="35" t="s">
        <v>723</v>
      </c>
      <c r="AG65" s="57" t="s">
        <v>723</v>
      </c>
      <c r="AH65" s="57" t="s">
        <v>723</v>
      </c>
      <c r="AI65" s="81" t="s">
        <v>362</v>
      </c>
      <c r="AJ65" s="57" t="s">
        <v>724</v>
      </c>
      <c r="AK65" s="57" t="s">
        <v>724</v>
      </c>
      <c r="AL65" s="57"/>
      <c r="AM65" s="57" t="s">
        <v>724</v>
      </c>
      <c r="AN65" s="41"/>
      <c r="AO65" s="41"/>
      <c r="AP65" s="41"/>
      <c r="AQ65" s="41"/>
      <c r="AR65" s="41"/>
      <c r="AS65" s="41"/>
      <c r="AT65" s="41"/>
      <c r="AU65" s="41"/>
      <c r="AV65" s="41"/>
      <c r="AW65" s="41"/>
      <c r="AX65" s="41"/>
      <c r="AY65" s="41"/>
      <c r="AZ65" s="41"/>
      <c r="BA65" s="41"/>
      <c r="BB65" s="41"/>
      <c r="BC65" s="41"/>
      <c r="BD65" s="41"/>
      <c r="BE65" s="41"/>
      <c r="BF65" s="41"/>
      <c r="BG65" s="41"/>
      <c r="BH65" s="41"/>
      <c r="BI65" s="41"/>
      <c r="BJ65" s="41"/>
      <c r="BK65" s="41"/>
      <c r="BL65" s="41"/>
      <c r="BM65" s="41"/>
      <c r="BN65" s="41"/>
      <c r="BO65" s="41"/>
      <c r="BP65" s="41"/>
      <c r="BQ65" s="41"/>
      <c r="BR65" s="41"/>
      <c r="BS65" s="41"/>
      <c r="BT65" s="41"/>
      <c r="BU65" s="41"/>
      <c r="BV65" s="41"/>
    </row>
    <row r="66" spans="1:74" ht="14.1" customHeight="1">
      <c r="A66" s="30"/>
      <c r="B66" s="91" t="s">
        <v>21</v>
      </c>
      <c r="C66" s="49" t="s">
        <v>21</v>
      </c>
      <c r="D66" s="49" t="s">
        <v>21</v>
      </c>
      <c r="E66" s="49" t="s">
        <v>21</v>
      </c>
      <c r="F66" s="91" t="s">
        <v>21</v>
      </c>
      <c r="G66" s="91" t="s">
        <v>21</v>
      </c>
      <c r="H66" s="182" t="s">
        <v>21</v>
      </c>
      <c r="I66" s="91" t="s">
        <v>21</v>
      </c>
      <c r="J66" s="91" t="s">
        <v>21</v>
      </c>
      <c r="K66" s="49" t="s">
        <v>21</v>
      </c>
      <c r="L66" s="91" t="s">
        <v>21</v>
      </c>
      <c r="M66" s="91" t="s">
        <v>21</v>
      </c>
      <c r="N66" s="49" t="s">
        <v>21</v>
      </c>
      <c r="O66" s="91" t="s">
        <v>21</v>
      </c>
      <c r="P66" s="91" t="s">
        <v>21</v>
      </c>
      <c r="Q66" s="91" t="s">
        <v>21</v>
      </c>
      <c r="R66" s="207" t="s">
        <v>21</v>
      </c>
      <c r="S66" s="214" t="s">
        <v>21</v>
      </c>
      <c r="T66" s="54">
        <v>113</v>
      </c>
      <c r="U66" s="55">
        <v>114</v>
      </c>
      <c r="V66" s="177" t="s">
        <v>25</v>
      </c>
      <c r="W66" s="91" t="s">
        <v>25</v>
      </c>
      <c r="X66" s="49" t="s">
        <v>25</v>
      </c>
      <c r="Y66" s="49" t="s">
        <v>25</v>
      </c>
      <c r="Z66" s="49" t="s">
        <v>25</v>
      </c>
      <c r="AA66" s="35" t="s">
        <v>25</v>
      </c>
      <c r="AB66" s="35" t="s">
        <v>25</v>
      </c>
      <c r="AC66" s="154" t="s">
        <v>25</v>
      </c>
      <c r="AD66" s="57" t="s">
        <v>25</v>
      </c>
      <c r="AE66" s="57" t="s">
        <v>25</v>
      </c>
      <c r="AF66" s="46" t="s">
        <v>25</v>
      </c>
      <c r="AG66" s="57" t="s">
        <v>25</v>
      </c>
      <c r="AH66" s="57" t="s">
        <v>25</v>
      </c>
      <c r="AI66" s="81" t="s">
        <v>25</v>
      </c>
      <c r="AJ66" s="57" t="s">
        <v>25</v>
      </c>
      <c r="AK66" s="57" t="s">
        <v>25</v>
      </c>
      <c r="AL66" s="57"/>
      <c r="AM66" s="57" t="s">
        <v>25</v>
      </c>
      <c r="AN66" s="41"/>
      <c r="AO66" s="41"/>
      <c r="AP66" s="41"/>
      <c r="AQ66" s="41"/>
      <c r="AR66" s="41"/>
      <c r="AS66" s="41"/>
      <c r="AT66" s="41"/>
      <c r="AU66" s="41"/>
      <c r="AV66" s="41"/>
      <c r="AW66" s="41"/>
      <c r="AX66" s="41"/>
      <c r="AY66" s="41"/>
      <c r="AZ66" s="41"/>
      <c r="BA66" s="41"/>
      <c r="BB66" s="41"/>
      <c r="BC66" s="41"/>
      <c r="BD66" s="41"/>
      <c r="BE66" s="41"/>
      <c r="BF66" s="41"/>
      <c r="BG66" s="41"/>
      <c r="BH66" s="41"/>
      <c r="BI66" s="41"/>
      <c r="BJ66" s="41"/>
      <c r="BK66" s="41"/>
      <c r="BL66" s="41"/>
      <c r="BM66" s="41"/>
      <c r="BN66" s="41"/>
      <c r="BO66" s="41"/>
      <c r="BP66" s="41"/>
      <c r="BQ66" s="41"/>
      <c r="BR66" s="41"/>
      <c r="BS66" s="41"/>
      <c r="BT66" s="41"/>
      <c r="BU66" s="41"/>
      <c r="BV66" s="41"/>
    </row>
    <row r="67" spans="1:74" ht="14.1" customHeight="1">
      <c r="A67" s="30"/>
      <c r="B67" s="91" t="s">
        <v>20</v>
      </c>
      <c r="C67" s="49" t="s">
        <v>20</v>
      </c>
      <c r="D67" s="49" t="s">
        <v>20</v>
      </c>
      <c r="E67" s="49" t="s">
        <v>20</v>
      </c>
      <c r="F67" s="91" t="s">
        <v>20</v>
      </c>
      <c r="G67" s="91" t="s">
        <v>20</v>
      </c>
      <c r="H67" s="182" t="s">
        <v>20</v>
      </c>
      <c r="I67" s="91" t="s">
        <v>20</v>
      </c>
      <c r="J67" s="91" t="s">
        <v>20</v>
      </c>
      <c r="K67" s="49" t="s">
        <v>20</v>
      </c>
      <c r="L67" s="91" t="s">
        <v>20</v>
      </c>
      <c r="M67" s="91" t="s">
        <v>20</v>
      </c>
      <c r="N67" s="49" t="s">
        <v>20</v>
      </c>
      <c r="O67" s="91" t="s">
        <v>20</v>
      </c>
      <c r="P67" s="91" t="s">
        <v>20</v>
      </c>
      <c r="Q67" s="91" t="s">
        <v>20</v>
      </c>
      <c r="R67" s="207" t="s">
        <v>20</v>
      </c>
      <c r="S67" s="214" t="s">
        <v>20</v>
      </c>
      <c r="T67" s="54">
        <v>115</v>
      </c>
      <c r="U67" s="55">
        <v>116</v>
      </c>
      <c r="V67" s="177" t="s">
        <v>26</v>
      </c>
      <c r="W67" s="91" t="s">
        <v>26</v>
      </c>
      <c r="X67" s="49" t="s">
        <v>26</v>
      </c>
      <c r="Y67" s="49" t="s">
        <v>26</v>
      </c>
      <c r="Z67" s="49" t="s">
        <v>26</v>
      </c>
      <c r="AA67" s="35" t="s">
        <v>26</v>
      </c>
      <c r="AB67" s="35" t="s">
        <v>26</v>
      </c>
      <c r="AC67" s="154" t="s">
        <v>26</v>
      </c>
      <c r="AD67" s="57" t="s">
        <v>26</v>
      </c>
      <c r="AE67" s="57" t="s">
        <v>26</v>
      </c>
      <c r="AF67" s="46" t="s">
        <v>26</v>
      </c>
      <c r="AG67" s="57" t="s">
        <v>26</v>
      </c>
      <c r="AH67" s="57" t="s">
        <v>26</v>
      </c>
      <c r="AI67" s="81" t="s">
        <v>26</v>
      </c>
      <c r="AJ67" s="57" t="s">
        <v>26</v>
      </c>
      <c r="AK67" s="57" t="s">
        <v>26</v>
      </c>
      <c r="AL67" s="57"/>
      <c r="AM67" s="57" t="s">
        <v>26</v>
      </c>
      <c r="AN67" s="41"/>
      <c r="AO67" s="41"/>
      <c r="AP67" s="41"/>
      <c r="AQ67" s="41"/>
      <c r="AR67" s="41"/>
      <c r="AS67" s="41"/>
      <c r="AT67" s="41"/>
      <c r="AU67" s="41"/>
      <c r="AV67" s="41"/>
      <c r="AW67" s="41"/>
      <c r="AX67" s="41"/>
      <c r="AY67" s="41"/>
      <c r="AZ67" s="41"/>
      <c r="BA67" s="41"/>
      <c r="BB67" s="41"/>
      <c r="BC67" s="41"/>
      <c r="BD67" s="41"/>
      <c r="BE67" s="41"/>
      <c r="BF67" s="41"/>
      <c r="BG67" s="41"/>
      <c r="BH67" s="41"/>
      <c r="BI67" s="41"/>
      <c r="BJ67" s="41"/>
      <c r="BK67" s="41"/>
      <c r="BL67" s="41"/>
      <c r="BM67" s="41"/>
      <c r="BN67" s="41"/>
      <c r="BO67" s="41"/>
      <c r="BP67" s="41"/>
      <c r="BQ67" s="41"/>
      <c r="BR67" s="41"/>
      <c r="BS67" s="41"/>
      <c r="BT67" s="41"/>
      <c r="BU67" s="41"/>
      <c r="BV67" s="41"/>
    </row>
    <row r="68" spans="1:74" ht="14.1" customHeight="1">
      <c r="A68" s="30"/>
      <c r="B68" s="91" t="s">
        <v>15</v>
      </c>
      <c r="C68" s="49" t="s">
        <v>15</v>
      </c>
      <c r="D68" s="49" t="s">
        <v>15</v>
      </c>
      <c r="E68" s="49" t="s">
        <v>15</v>
      </c>
      <c r="F68" s="91" t="s">
        <v>15</v>
      </c>
      <c r="G68" s="91" t="s">
        <v>15</v>
      </c>
      <c r="H68" s="182" t="s">
        <v>15</v>
      </c>
      <c r="I68" s="91" t="s">
        <v>15</v>
      </c>
      <c r="J68" s="91" t="s">
        <v>15</v>
      </c>
      <c r="K68" s="49" t="s">
        <v>15</v>
      </c>
      <c r="L68" s="91" t="s">
        <v>15</v>
      </c>
      <c r="M68" s="91" t="s">
        <v>15</v>
      </c>
      <c r="N68" s="49" t="s">
        <v>15</v>
      </c>
      <c r="O68" s="91" t="s">
        <v>15</v>
      </c>
      <c r="P68" s="91" t="s">
        <v>15</v>
      </c>
      <c r="Q68" s="91" t="s">
        <v>15</v>
      </c>
      <c r="R68" s="207" t="s">
        <v>15</v>
      </c>
      <c r="S68" s="214" t="s">
        <v>15</v>
      </c>
      <c r="T68" s="54">
        <v>117</v>
      </c>
      <c r="U68" s="55">
        <v>118</v>
      </c>
      <c r="V68" s="177" t="s">
        <v>23</v>
      </c>
      <c r="W68" s="91" t="s">
        <v>23</v>
      </c>
      <c r="X68" s="49" t="s">
        <v>363</v>
      </c>
      <c r="Y68" s="49" t="s">
        <v>166</v>
      </c>
      <c r="Z68" s="49" t="s">
        <v>166</v>
      </c>
      <c r="AA68" s="35" t="s">
        <v>23</v>
      </c>
      <c r="AB68" s="35" t="s">
        <v>23</v>
      </c>
      <c r="AC68" s="154" t="s">
        <v>23</v>
      </c>
      <c r="AD68" s="57" t="s">
        <v>23</v>
      </c>
      <c r="AE68" s="57" t="s">
        <v>23</v>
      </c>
      <c r="AF68" s="46" t="s">
        <v>23</v>
      </c>
      <c r="AG68" s="57" t="s">
        <v>23</v>
      </c>
      <c r="AH68" s="57" t="s">
        <v>23</v>
      </c>
      <c r="AI68" s="81" t="s">
        <v>364</v>
      </c>
      <c r="AJ68" s="57" t="s">
        <v>23</v>
      </c>
      <c r="AK68" s="57" t="s">
        <v>23</v>
      </c>
      <c r="AL68" s="57"/>
      <c r="AM68" s="57" t="s">
        <v>23</v>
      </c>
      <c r="AN68" s="41"/>
      <c r="AO68" s="41"/>
      <c r="AP68" s="41"/>
      <c r="AQ68" s="41"/>
      <c r="AR68" s="41"/>
      <c r="AS68" s="41"/>
      <c r="AT68" s="41"/>
      <c r="AU68" s="41"/>
      <c r="AV68" s="41"/>
      <c r="AW68" s="41"/>
      <c r="AX68" s="41"/>
      <c r="AY68" s="41"/>
      <c r="AZ68" s="41"/>
      <c r="BA68" s="41"/>
      <c r="BB68" s="41"/>
      <c r="BC68" s="41"/>
      <c r="BD68" s="41"/>
      <c r="BE68" s="41"/>
      <c r="BF68" s="41"/>
      <c r="BG68" s="41"/>
      <c r="BH68" s="41"/>
      <c r="BI68" s="41"/>
      <c r="BJ68" s="41"/>
      <c r="BK68" s="41"/>
      <c r="BL68" s="41"/>
      <c r="BM68" s="41"/>
      <c r="BN68" s="41"/>
      <c r="BO68" s="41"/>
      <c r="BP68" s="41"/>
      <c r="BQ68" s="41"/>
      <c r="BR68" s="41"/>
      <c r="BS68" s="41"/>
      <c r="BT68" s="41"/>
      <c r="BU68" s="41"/>
      <c r="BV68" s="41"/>
    </row>
    <row r="69" spans="1:74" ht="14.1" customHeight="1">
      <c r="A69" s="30"/>
      <c r="B69" s="91" t="s">
        <v>16</v>
      </c>
      <c r="C69" s="49" t="s">
        <v>16</v>
      </c>
      <c r="D69" s="49" t="s">
        <v>16</v>
      </c>
      <c r="E69" s="49" t="s">
        <v>16</v>
      </c>
      <c r="F69" s="91" t="s">
        <v>16</v>
      </c>
      <c r="G69" s="91" t="s">
        <v>16</v>
      </c>
      <c r="H69" s="182" t="s">
        <v>16</v>
      </c>
      <c r="I69" s="91" t="s">
        <v>16</v>
      </c>
      <c r="J69" s="91" t="s">
        <v>16</v>
      </c>
      <c r="K69" s="49" t="s">
        <v>16</v>
      </c>
      <c r="L69" s="91" t="s">
        <v>16</v>
      </c>
      <c r="M69" s="91" t="s">
        <v>16</v>
      </c>
      <c r="N69" s="49" t="s">
        <v>16</v>
      </c>
      <c r="O69" s="91" t="s">
        <v>16</v>
      </c>
      <c r="P69" s="91" t="s">
        <v>16</v>
      </c>
      <c r="Q69" s="91" t="s">
        <v>16</v>
      </c>
      <c r="R69" s="207" t="s">
        <v>16</v>
      </c>
      <c r="S69" s="214" t="s">
        <v>16</v>
      </c>
      <c r="T69" s="54">
        <v>119</v>
      </c>
      <c r="U69" s="55">
        <v>120</v>
      </c>
      <c r="V69" s="181" t="s">
        <v>2</v>
      </c>
      <c r="W69" s="178" t="s">
        <v>2</v>
      </c>
      <c r="X69" s="179" t="s">
        <v>2</v>
      </c>
      <c r="Y69" s="179" t="s">
        <v>2</v>
      </c>
      <c r="Z69" s="179" t="s">
        <v>2</v>
      </c>
      <c r="AA69" s="32" t="s">
        <v>2</v>
      </c>
      <c r="AB69" s="32" t="s">
        <v>2</v>
      </c>
      <c r="AC69" s="155" t="s">
        <v>2</v>
      </c>
      <c r="AD69" s="37" t="s">
        <v>2</v>
      </c>
      <c r="AE69" s="37" t="s">
        <v>2</v>
      </c>
      <c r="AF69" s="47" t="s">
        <v>2</v>
      </c>
      <c r="AG69" s="37" t="s">
        <v>2</v>
      </c>
      <c r="AH69" s="37" t="s">
        <v>2</v>
      </c>
      <c r="AI69" s="50" t="s">
        <v>2</v>
      </c>
      <c r="AJ69" s="37" t="s">
        <v>2</v>
      </c>
      <c r="AK69" s="37" t="s">
        <v>2</v>
      </c>
      <c r="AL69" s="37"/>
      <c r="AM69" s="37" t="s">
        <v>2</v>
      </c>
      <c r="AN69" s="41"/>
      <c r="AO69" s="41"/>
      <c r="AP69" s="41"/>
      <c r="AQ69" s="41"/>
      <c r="AR69" s="41"/>
      <c r="AS69" s="41"/>
      <c r="AT69" s="41"/>
      <c r="AU69" s="41"/>
      <c r="AV69" s="41"/>
      <c r="AW69" s="41"/>
      <c r="AX69" s="41"/>
      <c r="AY69" s="41"/>
      <c r="AZ69" s="41"/>
      <c r="BA69" s="41"/>
      <c r="BB69" s="41"/>
      <c r="BC69" s="41"/>
      <c r="BD69" s="41"/>
      <c r="BE69" s="41"/>
      <c r="BF69" s="41"/>
      <c r="BG69" s="41"/>
      <c r="BH69" s="41"/>
      <c r="BI69" s="41"/>
      <c r="BJ69" s="41"/>
      <c r="BK69" s="41"/>
      <c r="BL69" s="41"/>
      <c r="BM69" s="41"/>
      <c r="BN69" s="41"/>
      <c r="BO69" s="41"/>
      <c r="BP69" s="41"/>
      <c r="BQ69" s="41"/>
      <c r="BR69" s="41"/>
      <c r="BS69" s="41"/>
      <c r="BT69" s="41"/>
      <c r="BU69" s="41"/>
      <c r="BV69" s="41"/>
    </row>
    <row r="70" spans="1:74" ht="14.1" customHeight="1">
      <c r="A70" s="30"/>
      <c r="B70" s="91" t="s">
        <v>17</v>
      </c>
      <c r="C70" s="49" t="s">
        <v>17</v>
      </c>
      <c r="D70" s="49" t="s">
        <v>17</v>
      </c>
      <c r="E70" s="49" t="s">
        <v>17</v>
      </c>
      <c r="F70" s="91" t="s">
        <v>17</v>
      </c>
      <c r="G70" s="91" t="s">
        <v>17</v>
      </c>
      <c r="H70" s="182" t="s">
        <v>17</v>
      </c>
      <c r="I70" s="91" t="s">
        <v>17</v>
      </c>
      <c r="J70" s="91" t="s">
        <v>17</v>
      </c>
      <c r="K70" s="49" t="s">
        <v>17</v>
      </c>
      <c r="L70" s="91" t="s">
        <v>17</v>
      </c>
      <c r="M70" s="91" t="s">
        <v>17</v>
      </c>
      <c r="N70" s="49" t="s">
        <v>17</v>
      </c>
      <c r="O70" s="91" t="s">
        <v>17</v>
      </c>
      <c r="P70" s="91" t="s">
        <v>17</v>
      </c>
      <c r="Q70" s="91" t="s">
        <v>17</v>
      </c>
      <c r="R70" s="207" t="s">
        <v>17</v>
      </c>
      <c r="S70" s="214" t="s">
        <v>17</v>
      </c>
      <c r="T70" s="54">
        <v>121</v>
      </c>
      <c r="U70" s="55">
        <v>122</v>
      </c>
      <c r="V70" s="177" t="s">
        <v>24</v>
      </c>
      <c r="W70" s="91" t="s">
        <v>24</v>
      </c>
      <c r="X70" s="49" t="s">
        <v>365</v>
      </c>
      <c r="Y70" s="49" t="s">
        <v>161</v>
      </c>
      <c r="Z70" s="49" t="s">
        <v>161</v>
      </c>
      <c r="AA70" s="35" t="s">
        <v>24</v>
      </c>
      <c r="AB70" s="35" t="s">
        <v>24</v>
      </c>
      <c r="AC70" s="154" t="s">
        <v>24</v>
      </c>
      <c r="AD70" s="57" t="s">
        <v>24</v>
      </c>
      <c r="AE70" s="57" t="s">
        <v>24</v>
      </c>
      <c r="AF70" s="46" t="s">
        <v>24</v>
      </c>
      <c r="AG70" s="57" t="s">
        <v>24</v>
      </c>
      <c r="AH70" s="57" t="s">
        <v>24</v>
      </c>
      <c r="AI70" s="81" t="s">
        <v>366</v>
      </c>
      <c r="AJ70" s="57" t="s">
        <v>24</v>
      </c>
      <c r="AK70" s="57" t="s">
        <v>24</v>
      </c>
      <c r="AL70" s="57"/>
      <c r="AM70" s="57" t="s">
        <v>24</v>
      </c>
      <c r="AN70" s="41"/>
      <c r="AO70" s="41"/>
      <c r="AP70" s="41"/>
      <c r="AQ70" s="41"/>
      <c r="AR70" s="41"/>
      <c r="AS70" s="41"/>
      <c r="AT70" s="41"/>
      <c r="AU70" s="41"/>
      <c r="AV70" s="41"/>
      <c r="AW70" s="41"/>
      <c r="AX70" s="41"/>
      <c r="AY70" s="41"/>
      <c r="AZ70" s="41"/>
      <c r="BA70" s="41"/>
      <c r="BB70" s="41"/>
      <c r="BC70" s="41"/>
      <c r="BD70" s="41"/>
      <c r="BE70" s="41"/>
      <c r="BF70" s="41"/>
      <c r="BG70" s="41"/>
      <c r="BH70" s="41"/>
      <c r="BI70" s="41"/>
      <c r="BJ70" s="41"/>
      <c r="BK70" s="41"/>
      <c r="BL70" s="41"/>
      <c r="BM70" s="41"/>
      <c r="BN70" s="41"/>
      <c r="BO70" s="41"/>
      <c r="BP70" s="41"/>
      <c r="BQ70" s="41"/>
      <c r="BR70" s="41"/>
      <c r="BS70" s="41"/>
      <c r="BT70" s="41"/>
      <c r="BU70" s="41"/>
      <c r="BV70" s="41"/>
    </row>
    <row r="71" spans="1:74" ht="14.1" customHeight="1">
      <c r="A71" s="30"/>
      <c r="B71" s="91" t="s">
        <v>14</v>
      </c>
      <c r="C71" s="49" t="s">
        <v>14</v>
      </c>
      <c r="D71" s="49" t="s">
        <v>14</v>
      </c>
      <c r="E71" s="49" t="s">
        <v>14</v>
      </c>
      <c r="F71" s="91" t="s">
        <v>14</v>
      </c>
      <c r="G71" s="91" t="s">
        <v>14</v>
      </c>
      <c r="H71" s="182" t="s">
        <v>14</v>
      </c>
      <c r="I71" s="91" t="s">
        <v>14</v>
      </c>
      <c r="J71" s="91" t="s">
        <v>14</v>
      </c>
      <c r="K71" s="49" t="s">
        <v>14</v>
      </c>
      <c r="L71" s="91" t="s">
        <v>14</v>
      </c>
      <c r="M71" s="91" t="s">
        <v>14</v>
      </c>
      <c r="N71" s="49" t="s">
        <v>14</v>
      </c>
      <c r="O71" s="91" t="s">
        <v>14</v>
      </c>
      <c r="P71" s="91" t="s">
        <v>14</v>
      </c>
      <c r="Q71" s="91" t="s">
        <v>14</v>
      </c>
      <c r="R71" s="207" t="s">
        <v>14</v>
      </c>
      <c r="S71" s="214" t="s">
        <v>14</v>
      </c>
      <c r="T71" s="54">
        <v>123</v>
      </c>
      <c r="U71" s="55">
        <v>124</v>
      </c>
      <c r="V71" s="177" t="s">
        <v>264</v>
      </c>
      <c r="W71" s="91" t="s">
        <v>725</v>
      </c>
      <c r="X71" s="49" t="s">
        <v>163</v>
      </c>
      <c r="Y71" s="49" t="s">
        <v>159</v>
      </c>
      <c r="Z71" s="49" t="s">
        <v>159</v>
      </c>
      <c r="AA71" s="35" t="s">
        <v>725</v>
      </c>
      <c r="AB71" s="35" t="s">
        <v>725</v>
      </c>
      <c r="AC71" s="154" t="s">
        <v>162</v>
      </c>
      <c r="AD71" s="57" t="s">
        <v>162</v>
      </c>
      <c r="AE71" s="57" t="s">
        <v>162</v>
      </c>
      <c r="AF71" s="46" t="s">
        <v>162</v>
      </c>
      <c r="AG71" s="57" t="s">
        <v>162</v>
      </c>
      <c r="AH71" s="57" t="s">
        <v>162</v>
      </c>
      <c r="AI71" s="81" t="s">
        <v>159</v>
      </c>
      <c r="AJ71" s="57" t="s">
        <v>264</v>
      </c>
      <c r="AK71" s="57" t="s">
        <v>264</v>
      </c>
      <c r="AL71" s="57"/>
      <c r="AM71" s="57" t="s">
        <v>264</v>
      </c>
      <c r="AN71" s="41"/>
      <c r="AO71" s="41"/>
      <c r="AP71" s="41"/>
      <c r="AQ71" s="41"/>
      <c r="AR71" s="41"/>
      <c r="AS71" s="41"/>
      <c r="AT71" s="41"/>
      <c r="AU71" s="41"/>
      <c r="AV71" s="41"/>
      <c r="AW71" s="41"/>
      <c r="AX71" s="41"/>
      <c r="AY71" s="41"/>
      <c r="AZ71" s="41"/>
      <c r="BA71" s="41"/>
      <c r="BB71" s="41"/>
      <c r="BC71" s="41"/>
      <c r="BD71" s="41"/>
      <c r="BE71" s="41"/>
      <c r="BF71" s="41"/>
      <c r="BG71" s="41"/>
      <c r="BH71" s="41"/>
      <c r="BI71" s="41"/>
      <c r="BJ71" s="41"/>
      <c r="BK71" s="41"/>
      <c r="BL71" s="41"/>
      <c r="BM71" s="41"/>
      <c r="BN71" s="41"/>
      <c r="BO71" s="41"/>
      <c r="BP71" s="41"/>
      <c r="BQ71" s="41"/>
      <c r="BR71" s="41"/>
      <c r="BS71" s="41"/>
      <c r="BT71" s="41"/>
      <c r="BU71" s="41"/>
      <c r="BV71" s="41"/>
    </row>
    <row r="72" spans="1:74" ht="14.1" customHeight="1">
      <c r="A72" s="30"/>
      <c r="B72" s="178" t="s">
        <v>2</v>
      </c>
      <c r="C72" s="179" t="s">
        <v>2</v>
      </c>
      <c r="D72" s="179" t="s">
        <v>2</v>
      </c>
      <c r="E72" s="179" t="s">
        <v>2</v>
      </c>
      <c r="F72" s="178" t="s">
        <v>2</v>
      </c>
      <c r="G72" s="178" t="s">
        <v>2</v>
      </c>
      <c r="H72" s="180" t="s">
        <v>2</v>
      </c>
      <c r="I72" s="178" t="s">
        <v>2</v>
      </c>
      <c r="J72" s="178" t="s">
        <v>2</v>
      </c>
      <c r="K72" s="179" t="s">
        <v>2</v>
      </c>
      <c r="L72" s="178" t="s">
        <v>2</v>
      </c>
      <c r="M72" s="178" t="s">
        <v>2</v>
      </c>
      <c r="N72" s="179" t="s">
        <v>2</v>
      </c>
      <c r="O72" s="178" t="s">
        <v>2</v>
      </c>
      <c r="P72" s="178" t="s">
        <v>2</v>
      </c>
      <c r="Q72" s="178" t="s">
        <v>2</v>
      </c>
      <c r="R72" s="206" t="s">
        <v>2</v>
      </c>
      <c r="S72" s="213" t="s">
        <v>2</v>
      </c>
      <c r="T72" s="54">
        <v>125</v>
      </c>
      <c r="U72" s="55">
        <v>126</v>
      </c>
      <c r="V72" s="177" t="s">
        <v>27</v>
      </c>
      <c r="W72" s="91" t="s">
        <v>726</v>
      </c>
      <c r="X72" s="49" t="s">
        <v>158</v>
      </c>
      <c r="Y72" s="49" t="s">
        <v>158</v>
      </c>
      <c r="Z72" s="49" t="s">
        <v>158</v>
      </c>
      <c r="AA72" s="35" t="s">
        <v>726</v>
      </c>
      <c r="AB72" s="35" t="s">
        <v>726</v>
      </c>
      <c r="AC72" s="154" t="s">
        <v>726</v>
      </c>
      <c r="AD72" s="57" t="s">
        <v>726</v>
      </c>
      <c r="AE72" s="57" t="s">
        <v>726</v>
      </c>
      <c r="AF72" s="46" t="s">
        <v>726</v>
      </c>
      <c r="AG72" s="57" t="s">
        <v>726</v>
      </c>
      <c r="AH72" s="57" t="s">
        <v>726</v>
      </c>
      <c r="AI72" s="81" t="s">
        <v>158</v>
      </c>
      <c r="AJ72" s="57" t="s">
        <v>726</v>
      </c>
      <c r="AK72" s="57" t="s">
        <v>727</v>
      </c>
      <c r="AL72" s="57"/>
      <c r="AM72" s="57" t="s">
        <v>727</v>
      </c>
      <c r="AN72" s="41"/>
      <c r="AO72" s="41"/>
      <c r="AP72" s="41"/>
      <c r="AQ72" s="41"/>
      <c r="AR72" s="41"/>
      <c r="AS72" s="41"/>
      <c r="AT72" s="41"/>
      <c r="AU72" s="41"/>
      <c r="AV72" s="41"/>
      <c r="AW72" s="41"/>
      <c r="AX72" s="41"/>
      <c r="AY72" s="41"/>
      <c r="AZ72" s="41"/>
      <c r="BA72" s="41"/>
      <c r="BB72" s="41"/>
      <c r="BC72" s="41"/>
      <c r="BD72" s="41"/>
      <c r="BE72" s="41"/>
      <c r="BF72" s="41"/>
      <c r="BG72" s="41"/>
      <c r="BH72" s="41"/>
      <c r="BI72" s="41"/>
      <c r="BJ72" s="41"/>
      <c r="BK72" s="41"/>
      <c r="BL72" s="41"/>
      <c r="BM72" s="41"/>
      <c r="BN72" s="41"/>
      <c r="BO72" s="41"/>
      <c r="BP72" s="41"/>
      <c r="BQ72" s="41"/>
      <c r="BR72" s="41"/>
      <c r="BS72" s="41"/>
      <c r="BT72" s="41"/>
      <c r="BU72" s="41"/>
      <c r="BV72" s="41"/>
    </row>
    <row r="73" spans="1:74" ht="14.1" customHeight="1">
      <c r="A73" s="30"/>
      <c r="B73" s="49" t="s">
        <v>1004</v>
      </c>
      <c r="C73" s="49" t="s">
        <v>1004</v>
      </c>
      <c r="D73" s="49" t="s">
        <v>1004</v>
      </c>
      <c r="E73" s="49" t="s">
        <v>1004</v>
      </c>
      <c r="F73" s="49" t="s">
        <v>1004</v>
      </c>
      <c r="G73" s="49" t="s">
        <v>1004</v>
      </c>
      <c r="H73" s="182" t="s">
        <v>1004</v>
      </c>
      <c r="I73" s="182" t="s">
        <v>1004</v>
      </c>
      <c r="J73" s="49" t="s">
        <v>1004</v>
      </c>
      <c r="K73" s="49" t="s">
        <v>1004</v>
      </c>
      <c r="L73" s="49" t="s">
        <v>1004</v>
      </c>
      <c r="M73" s="49" t="s">
        <v>1004</v>
      </c>
      <c r="N73" s="49" t="s">
        <v>68</v>
      </c>
      <c r="O73" s="91" t="s">
        <v>630</v>
      </c>
      <c r="P73" s="91" t="s">
        <v>630</v>
      </c>
      <c r="Q73" s="91" t="s">
        <v>630</v>
      </c>
      <c r="R73" s="207" t="s">
        <v>630</v>
      </c>
      <c r="S73" s="214" t="s">
        <v>68</v>
      </c>
      <c r="T73" s="54">
        <v>127</v>
      </c>
      <c r="U73" s="55">
        <v>128</v>
      </c>
      <c r="V73" s="177" t="s">
        <v>18</v>
      </c>
      <c r="W73" s="91" t="s">
        <v>18</v>
      </c>
      <c r="X73" s="49" t="s">
        <v>239</v>
      </c>
      <c r="Y73" s="49" t="s">
        <v>239</v>
      </c>
      <c r="Z73" s="49" t="s">
        <v>239</v>
      </c>
      <c r="AA73" s="35" t="s">
        <v>18</v>
      </c>
      <c r="AB73" s="35" t="s">
        <v>18</v>
      </c>
      <c r="AC73" s="154" t="s">
        <v>18</v>
      </c>
      <c r="AD73" s="57" t="s">
        <v>18</v>
      </c>
      <c r="AE73" s="57" t="s">
        <v>18</v>
      </c>
      <c r="AF73" s="46" t="s">
        <v>18</v>
      </c>
      <c r="AG73" s="57" t="s">
        <v>18</v>
      </c>
      <c r="AH73" s="57" t="s">
        <v>18</v>
      </c>
      <c r="AI73" s="81" t="s">
        <v>239</v>
      </c>
      <c r="AJ73" s="57" t="s">
        <v>728</v>
      </c>
      <c r="AK73" s="57" t="s">
        <v>728</v>
      </c>
      <c r="AL73" s="57"/>
      <c r="AM73" s="57" t="s">
        <v>728</v>
      </c>
      <c r="AN73" s="41"/>
      <c r="AO73" s="41"/>
      <c r="AP73" s="41"/>
      <c r="AQ73" s="41"/>
      <c r="AR73" s="41"/>
      <c r="AS73" s="41"/>
      <c r="AT73" s="41"/>
      <c r="AU73" s="41"/>
      <c r="AV73" s="41"/>
      <c r="AW73" s="41"/>
      <c r="AX73" s="41"/>
      <c r="AY73" s="41"/>
      <c r="AZ73" s="41"/>
      <c r="BA73" s="41"/>
      <c r="BB73" s="41"/>
      <c r="BC73" s="41"/>
      <c r="BD73" s="41"/>
      <c r="BE73" s="41"/>
      <c r="BF73" s="41"/>
      <c r="BG73" s="41"/>
      <c r="BH73" s="41"/>
      <c r="BI73" s="41"/>
      <c r="BJ73" s="41"/>
      <c r="BK73" s="41"/>
      <c r="BL73" s="41"/>
      <c r="BM73" s="41"/>
      <c r="BN73" s="41"/>
      <c r="BO73" s="41"/>
      <c r="BP73" s="41"/>
      <c r="BQ73" s="41"/>
      <c r="BR73" s="41"/>
      <c r="BS73" s="41"/>
      <c r="BT73" s="41"/>
      <c r="BU73" s="41"/>
      <c r="BV73" s="41"/>
    </row>
    <row r="74" spans="1:74" ht="14.1" customHeight="1">
      <c r="A74" s="30"/>
      <c r="B74" s="49" t="s">
        <v>1005</v>
      </c>
      <c r="C74" s="49" t="s">
        <v>1005</v>
      </c>
      <c r="D74" s="49" t="s">
        <v>1005</v>
      </c>
      <c r="E74" s="49" t="s">
        <v>1005</v>
      </c>
      <c r="F74" s="49" t="s">
        <v>1005</v>
      </c>
      <c r="G74" s="49" t="s">
        <v>1005</v>
      </c>
      <c r="H74" s="182" t="s">
        <v>1005</v>
      </c>
      <c r="I74" s="182" t="s">
        <v>1005</v>
      </c>
      <c r="J74" s="49" t="s">
        <v>1005</v>
      </c>
      <c r="K74" s="49" t="s">
        <v>1005</v>
      </c>
      <c r="L74" s="49" t="s">
        <v>1005</v>
      </c>
      <c r="M74" s="49" t="s">
        <v>1005</v>
      </c>
      <c r="N74" s="49" t="s">
        <v>69</v>
      </c>
      <c r="O74" s="91" t="s">
        <v>631</v>
      </c>
      <c r="P74" s="91" t="s">
        <v>631</v>
      </c>
      <c r="Q74" s="91" t="s">
        <v>631</v>
      </c>
      <c r="R74" s="207" t="s">
        <v>631</v>
      </c>
      <c r="S74" s="214" t="s">
        <v>69</v>
      </c>
      <c r="T74" s="54">
        <v>129</v>
      </c>
      <c r="U74" s="55">
        <v>130</v>
      </c>
      <c r="V74" s="177" t="s">
        <v>28</v>
      </c>
      <c r="W74" s="91" t="s">
        <v>237</v>
      </c>
      <c r="X74" s="49" t="s">
        <v>237</v>
      </c>
      <c r="Y74" s="49" t="s">
        <v>28</v>
      </c>
      <c r="Z74" s="49" t="s">
        <v>28</v>
      </c>
      <c r="AA74" s="35" t="s">
        <v>237</v>
      </c>
      <c r="AB74" s="35" t="s">
        <v>237</v>
      </c>
      <c r="AC74" s="154" t="s">
        <v>2355</v>
      </c>
      <c r="AD74" s="57" t="s">
        <v>2355</v>
      </c>
      <c r="AE74" s="57" t="s">
        <v>2355</v>
      </c>
      <c r="AF74" s="46" t="s">
        <v>28</v>
      </c>
      <c r="AG74" s="57" t="s">
        <v>2355</v>
      </c>
      <c r="AH74" s="57" t="s">
        <v>28</v>
      </c>
      <c r="AI74" s="81" t="s">
        <v>28</v>
      </c>
      <c r="AJ74" s="57" t="s">
        <v>28</v>
      </c>
      <c r="AK74" s="57" t="s">
        <v>28</v>
      </c>
      <c r="AL74" s="57"/>
      <c r="AM74" s="57" t="s">
        <v>28</v>
      </c>
      <c r="AN74" s="41"/>
      <c r="AO74" s="41"/>
      <c r="AP74" s="41"/>
      <c r="AQ74" s="41"/>
      <c r="AR74" s="41"/>
      <c r="AS74" s="41"/>
      <c r="AT74" s="41"/>
      <c r="AU74" s="41"/>
      <c r="AV74" s="41"/>
      <c r="AW74" s="41"/>
      <c r="AX74" s="41"/>
      <c r="AY74" s="41"/>
      <c r="AZ74" s="41"/>
      <c r="BA74" s="41"/>
      <c r="BB74" s="41"/>
      <c r="BC74" s="41"/>
      <c r="BD74" s="41"/>
      <c r="BE74" s="41"/>
      <c r="BF74" s="41"/>
      <c r="BG74" s="41"/>
      <c r="BH74" s="41"/>
      <c r="BI74" s="41"/>
      <c r="BJ74" s="41"/>
      <c r="BK74" s="41"/>
      <c r="BL74" s="41"/>
      <c r="BM74" s="41"/>
      <c r="BN74" s="41"/>
      <c r="BO74" s="41"/>
      <c r="BP74" s="41"/>
      <c r="BQ74" s="41"/>
      <c r="BR74" s="41"/>
      <c r="BS74" s="41"/>
      <c r="BT74" s="41"/>
      <c r="BU74" s="41"/>
      <c r="BV74" s="41"/>
    </row>
    <row r="75" spans="1:74" ht="14.1" customHeight="1">
      <c r="A75" s="30"/>
      <c r="B75" s="91" t="s">
        <v>1273</v>
      </c>
      <c r="C75" s="49" t="s">
        <v>70</v>
      </c>
      <c r="D75" s="49" t="s">
        <v>70</v>
      </c>
      <c r="E75" s="49" t="s">
        <v>70</v>
      </c>
      <c r="F75" s="91" t="s">
        <v>70</v>
      </c>
      <c r="G75" s="91" t="s">
        <v>1273</v>
      </c>
      <c r="H75" s="182" t="s">
        <v>1273</v>
      </c>
      <c r="I75" s="182" t="s">
        <v>1273</v>
      </c>
      <c r="J75" s="91" t="s">
        <v>1273</v>
      </c>
      <c r="K75" s="49" t="s">
        <v>70</v>
      </c>
      <c r="L75" s="91" t="s">
        <v>1273</v>
      </c>
      <c r="M75" s="91" t="s">
        <v>70</v>
      </c>
      <c r="N75" s="49" t="s">
        <v>70</v>
      </c>
      <c r="O75" s="172" t="s">
        <v>2589</v>
      </c>
      <c r="P75" s="172" t="s">
        <v>1054</v>
      </c>
      <c r="Q75" s="172" t="s">
        <v>1054</v>
      </c>
      <c r="R75" s="205" t="s">
        <v>1054</v>
      </c>
      <c r="S75" s="214" t="s">
        <v>1343</v>
      </c>
      <c r="T75" s="54">
        <v>131</v>
      </c>
      <c r="U75" s="55">
        <v>132</v>
      </c>
      <c r="V75" s="177" t="s">
        <v>29</v>
      </c>
      <c r="W75" s="91" t="s">
        <v>367</v>
      </c>
      <c r="X75" s="49" t="s">
        <v>165</v>
      </c>
      <c r="Y75" s="49" t="s">
        <v>160</v>
      </c>
      <c r="Z75" s="49" t="s">
        <v>160</v>
      </c>
      <c r="AA75" s="35" t="s">
        <v>367</v>
      </c>
      <c r="AB75" s="35" t="s">
        <v>367</v>
      </c>
      <c r="AC75" s="154" t="s">
        <v>164</v>
      </c>
      <c r="AD75" s="57" t="s">
        <v>164</v>
      </c>
      <c r="AE75" s="57" t="s">
        <v>164</v>
      </c>
      <c r="AF75" s="46" t="s">
        <v>164</v>
      </c>
      <c r="AG75" s="57" t="s">
        <v>164</v>
      </c>
      <c r="AH75" s="57" t="s">
        <v>164</v>
      </c>
      <c r="AI75" s="81" t="s">
        <v>160</v>
      </c>
      <c r="AJ75" s="57" t="s">
        <v>29</v>
      </c>
      <c r="AK75" s="57" t="s">
        <v>29</v>
      </c>
      <c r="AL75" s="57"/>
      <c r="AM75" s="57" t="s">
        <v>29</v>
      </c>
      <c r="AN75" s="41"/>
      <c r="AO75" s="41"/>
      <c r="AP75" s="41"/>
      <c r="AQ75" s="41"/>
      <c r="AR75" s="41"/>
      <c r="AS75" s="41"/>
      <c r="AT75" s="41"/>
      <c r="AU75" s="41"/>
      <c r="AV75" s="41"/>
      <c r="AW75" s="41"/>
      <c r="AX75" s="41"/>
      <c r="AY75" s="41"/>
      <c r="AZ75" s="41"/>
      <c r="BA75" s="41"/>
      <c r="BB75" s="41"/>
      <c r="BC75" s="41"/>
      <c r="BD75" s="41"/>
      <c r="BE75" s="41"/>
      <c r="BF75" s="41"/>
      <c r="BG75" s="41"/>
      <c r="BH75" s="41"/>
      <c r="BI75" s="41"/>
      <c r="BJ75" s="41"/>
      <c r="BK75" s="41"/>
      <c r="BL75" s="41"/>
      <c r="BM75" s="41"/>
      <c r="BN75" s="41"/>
      <c r="BO75" s="41"/>
      <c r="BP75" s="41"/>
      <c r="BQ75" s="41"/>
      <c r="BR75" s="41"/>
      <c r="BS75" s="41"/>
      <c r="BT75" s="41"/>
      <c r="BU75" s="41"/>
      <c r="BV75" s="41"/>
    </row>
    <row r="76" spans="1:74" ht="14.1" customHeight="1">
      <c r="A76" s="30"/>
      <c r="B76" s="91" t="s">
        <v>1274</v>
      </c>
      <c r="C76" s="49" t="s">
        <v>239</v>
      </c>
      <c r="D76" s="49" t="s">
        <v>239</v>
      </c>
      <c r="E76" s="49" t="s">
        <v>239</v>
      </c>
      <c r="F76" s="91" t="s">
        <v>71</v>
      </c>
      <c r="G76" s="91" t="s">
        <v>1274</v>
      </c>
      <c r="H76" s="182" t="s">
        <v>1274</v>
      </c>
      <c r="I76" s="182" t="s">
        <v>1274</v>
      </c>
      <c r="J76" s="91" t="s">
        <v>1274</v>
      </c>
      <c r="K76" s="91" t="s">
        <v>71</v>
      </c>
      <c r="L76" s="91" t="s">
        <v>1274</v>
      </c>
      <c r="M76" s="91" t="s">
        <v>71</v>
      </c>
      <c r="N76" s="49" t="s">
        <v>277</v>
      </c>
      <c r="O76" s="91" t="s">
        <v>2590</v>
      </c>
      <c r="P76" s="91" t="s">
        <v>632</v>
      </c>
      <c r="Q76" s="91" t="s">
        <v>632</v>
      </c>
      <c r="R76" s="207" t="s">
        <v>632</v>
      </c>
      <c r="S76" s="214" t="s">
        <v>1344</v>
      </c>
      <c r="T76" s="54">
        <v>133</v>
      </c>
      <c r="U76" s="55">
        <v>134</v>
      </c>
      <c r="V76" s="181" t="s">
        <v>2</v>
      </c>
      <c r="W76" s="178" t="s">
        <v>2</v>
      </c>
      <c r="X76" s="179" t="s">
        <v>2</v>
      </c>
      <c r="Y76" s="179" t="s">
        <v>2</v>
      </c>
      <c r="Z76" s="179" t="s">
        <v>2</v>
      </c>
      <c r="AA76" s="32" t="s">
        <v>2</v>
      </c>
      <c r="AB76" s="32" t="s">
        <v>2</v>
      </c>
      <c r="AC76" s="155" t="s">
        <v>2</v>
      </c>
      <c r="AD76" s="37" t="s">
        <v>2</v>
      </c>
      <c r="AE76" s="37" t="s">
        <v>2</v>
      </c>
      <c r="AF76" s="47" t="s">
        <v>2</v>
      </c>
      <c r="AG76" s="37" t="s">
        <v>2</v>
      </c>
      <c r="AH76" s="37" t="s">
        <v>2</v>
      </c>
      <c r="AI76" s="50" t="s">
        <v>2</v>
      </c>
      <c r="AJ76" s="37" t="s">
        <v>2</v>
      </c>
      <c r="AK76" s="37" t="s">
        <v>2</v>
      </c>
      <c r="AL76" s="37"/>
      <c r="AM76" s="37" t="s">
        <v>2</v>
      </c>
      <c r="AN76" s="41"/>
      <c r="AO76" s="41"/>
      <c r="AP76" s="41"/>
      <c r="AQ76" s="41"/>
      <c r="AR76" s="41"/>
      <c r="AS76" s="41"/>
      <c r="AT76" s="41"/>
      <c r="AU76" s="41"/>
      <c r="AV76" s="41"/>
      <c r="AW76" s="41"/>
      <c r="AX76" s="41"/>
      <c r="AY76" s="41"/>
      <c r="AZ76" s="41"/>
      <c r="BA76" s="41"/>
      <c r="BB76" s="41"/>
      <c r="BC76" s="41"/>
      <c r="BD76" s="41"/>
      <c r="BE76" s="41"/>
      <c r="BF76" s="41"/>
      <c r="BG76" s="41"/>
      <c r="BH76" s="41"/>
      <c r="BI76" s="41"/>
      <c r="BJ76" s="41"/>
      <c r="BK76" s="41"/>
      <c r="BL76" s="41"/>
      <c r="BM76" s="41"/>
      <c r="BN76" s="41"/>
      <c r="BO76" s="41"/>
      <c r="BP76" s="41"/>
      <c r="BQ76" s="41"/>
      <c r="BR76" s="41"/>
      <c r="BS76" s="41"/>
      <c r="BT76" s="41"/>
      <c r="BU76" s="41"/>
      <c r="BV76" s="41"/>
    </row>
    <row r="77" spans="1:74" ht="14.1" customHeight="1">
      <c r="A77" s="30"/>
      <c r="B77" s="178" t="s">
        <v>2</v>
      </c>
      <c r="C77" s="179" t="s">
        <v>2</v>
      </c>
      <c r="D77" s="179" t="s">
        <v>2</v>
      </c>
      <c r="E77" s="179" t="s">
        <v>2</v>
      </c>
      <c r="F77" s="178" t="s">
        <v>2</v>
      </c>
      <c r="G77" s="178" t="s">
        <v>2</v>
      </c>
      <c r="H77" s="180" t="s">
        <v>2</v>
      </c>
      <c r="I77" s="178" t="s">
        <v>2</v>
      </c>
      <c r="J77" s="178" t="s">
        <v>2</v>
      </c>
      <c r="K77" s="179" t="s">
        <v>2</v>
      </c>
      <c r="L77" s="178" t="s">
        <v>2</v>
      </c>
      <c r="M77" s="178" t="s">
        <v>2</v>
      </c>
      <c r="N77" s="179" t="s">
        <v>2</v>
      </c>
      <c r="O77" s="178" t="s">
        <v>2</v>
      </c>
      <c r="P77" s="178" t="s">
        <v>2</v>
      </c>
      <c r="Q77" s="178" t="s">
        <v>2</v>
      </c>
      <c r="R77" s="206" t="s">
        <v>2</v>
      </c>
      <c r="S77" s="213" t="s">
        <v>2</v>
      </c>
      <c r="T77" s="54">
        <v>135</v>
      </c>
      <c r="U77" s="55">
        <v>136</v>
      </c>
      <c r="V77" s="177" t="s">
        <v>265</v>
      </c>
      <c r="W77" s="49" t="s">
        <v>265</v>
      </c>
      <c r="X77" s="49" t="s">
        <v>239</v>
      </c>
      <c r="Y77" s="49" t="s">
        <v>265</v>
      </c>
      <c r="Z77" s="49" t="s">
        <v>239</v>
      </c>
      <c r="AA77" s="49" t="s">
        <v>239</v>
      </c>
      <c r="AB77" s="46" t="s">
        <v>265</v>
      </c>
      <c r="AC77" s="154" t="s">
        <v>239</v>
      </c>
      <c r="AD77" s="81" t="s">
        <v>239</v>
      </c>
      <c r="AE77" s="81" t="s">
        <v>239</v>
      </c>
      <c r="AF77" s="46" t="s">
        <v>239</v>
      </c>
      <c r="AG77" s="81" t="s">
        <v>239</v>
      </c>
      <c r="AH77" s="81" t="s">
        <v>239</v>
      </c>
      <c r="AI77" s="81" t="s">
        <v>266</v>
      </c>
      <c r="AJ77" s="57" t="s">
        <v>265</v>
      </c>
      <c r="AK77" s="57" t="s">
        <v>265</v>
      </c>
      <c r="AL77" s="57"/>
      <c r="AM77" s="57" t="s">
        <v>265</v>
      </c>
      <c r="AN77" s="41"/>
      <c r="AO77" s="41"/>
      <c r="AP77" s="41"/>
      <c r="AQ77" s="41"/>
      <c r="AR77" s="41"/>
      <c r="AS77" s="41"/>
      <c r="AT77" s="41"/>
      <c r="AU77" s="41"/>
      <c r="AV77" s="41"/>
      <c r="AW77" s="41"/>
      <c r="AX77" s="41"/>
      <c r="AY77" s="41"/>
      <c r="AZ77" s="41"/>
      <c r="BA77" s="41"/>
      <c r="BB77" s="41"/>
      <c r="BC77" s="41"/>
      <c r="BD77" s="41"/>
      <c r="BE77" s="41"/>
      <c r="BF77" s="41"/>
      <c r="BG77" s="41"/>
      <c r="BH77" s="41"/>
      <c r="BI77" s="41"/>
      <c r="BJ77" s="41"/>
      <c r="BK77" s="41"/>
      <c r="BL77" s="41"/>
      <c r="BM77" s="41"/>
      <c r="BN77" s="41"/>
      <c r="BO77" s="41"/>
      <c r="BP77" s="41"/>
      <c r="BQ77" s="41"/>
      <c r="BR77" s="41"/>
      <c r="BS77" s="41"/>
      <c r="BT77" s="41"/>
      <c r="BU77" s="41"/>
      <c r="BV77" s="41"/>
    </row>
    <row r="78" spans="1:74" ht="14.1" customHeight="1">
      <c r="A78" s="30"/>
      <c r="B78" s="49" t="s">
        <v>262</v>
      </c>
      <c r="C78" s="49" t="s">
        <v>239</v>
      </c>
      <c r="D78" s="49" t="s">
        <v>262</v>
      </c>
      <c r="E78" s="49" t="s">
        <v>239</v>
      </c>
      <c r="F78" s="49" t="s">
        <v>239</v>
      </c>
      <c r="G78" s="49" t="s">
        <v>262</v>
      </c>
      <c r="H78" s="182" t="s">
        <v>239</v>
      </c>
      <c r="I78" s="49" t="s">
        <v>239</v>
      </c>
      <c r="J78" s="91" t="s">
        <v>239</v>
      </c>
      <c r="K78" s="49" t="s">
        <v>239</v>
      </c>
      <c r="L78" s="49" t="s">
        <v>239</v>
      </c>
      <c r="M78" s="49" t="s">
        <v>239</v>
      </c>
      <c r="N78" s="49" t="s">
        <v>263</v>
      </c>
      <c r="O78" s="91" t="s">
        <v>262</v>
      </c>
      <c r="P78" s="91" t="s">
        <v>262</v>
      </c>
      <c r="Q78" s="91" t="s">
        <v>262</v>
      </c>
      <c r="R78" s="207" t="s">
        <v>262</v>
      </c>
      <c r="S78" s="214" t="s">
        <v>262</v>
      </c>
      <c r="T78" s="54">
        <v>137</v>
      </c>
      <c r="U78" s="55">
        <v>138</v>
      </c>
      <c r="V78" s="181" t="s">
        <v>2</v>
      </c>
      <c r="W78" s="178" t="s">
        <v>2</v>
      </c>
      <c r="X78" s="179" t="s">
        <v>2</v>
      </c>
      <c r="Y78" s="179" t="s">
        <v>2</v>
      </c>
      <c r="Z78" s="179" t="s">
        <v>2</v>
      </c>
      <c r="AA78" s="32" t="s">
        <v>2</v>
      </c>
      <c r="AB78" s="32" t="s">
        <v>2</v>
      </c>
      <c r="AC78" s="155" t="s">
        <v>2</v>
      </c>
      <c r="AD78" s="37" t="s">
        <v>2</v>
      </c>
      <c r="AE78" s="50" t="s">
        <v>2</v>
      </c>
      <c r="AF78" s="47" t="s">
        <v>2</v>
      </c>
      <c r="AG78" s="50" t="s">
        <v>2</v>
      </c>
      <c r="AH78" s="37" t="s">
        <v>2</v>
      </c>
      <c r="AI78" s="50" t="s">
        <v>2</v>
      </c>
      <c r="AJ78" s="37" t="s">
        <v>2</v>
      </c>
      <c r="AK78" s="37" t="s">
        <v>2</v>
      </c>
      <c r="AL78" s="37"/>
      <c r="AM78" s="37" t="s">
        <v>2</v>
      </c>
      <c r="AN78" s="41"/>
      <c r="AO78" s="41"/>
      <c r="AP78" s="41"/>
      <c r="AQ78" s="41"/>
      <c r="AR78" s="41"/>
      <c r="AS78" s="41"/>
      <c r="AT78" s="41"/>
      <c r="AU78" s="41"/>
      <c r="AV78" s="41"/>
      <c r="AW78" s="41"/>
      <c r="AX78" s="41"/>
      <c r="AY78" s="41"/>
      <c r="AZ78" s="41"/>
      <c r="BA78" s="41"/>
      <c r="BB78" s="41"/>
      <c r="BC78" s="41"/>
      <c r="BD78" s="41"/>
      <c r="BE78" s="41"/>
      <c r="BF78" s="41"/>
      <c r="BG78" s="41"/>
      <c r="BH78" s="41"/>
      <c r="BI78" s="41"/>
      <c r="BJ78" s="41"/>
      <c r="BK78" s="41"/>
      <c r="BL78" s="41"/>
      <c r="BM78" s="41"/>
      <c r="BN78" s="41"/>
      <c r="BO78" s="41"/>
      <c r="BP78" s="41"/>
      <c r="BQ78" s="41"/>
      <c r="BR78" s="41"/>
      <c r="BS78" s="41"/>
      <c r="BT78" s="41"/>
      <c r="BU78" s="41"/>
      <c r="BV78" s="41"/>
    </row>
    <row r="79" spans="1:74" ht="14.1" customHeight="1">
      <c r="A79" s="30"/>
      <c r="B79" s="186" t="s">
        <v>2</v>
      </c>
      <c r="C79" s="179" t="s">
        <v>2</v>
      </c>
      <c r="D79" s="179" t="s">
        <v>2</v>
      </c>
      <c r="E79" s="179" t="s">
        <v>2</v>
      </c>
      <c r="F79" s="186" t="s">
        <v>2</v>
      </c>
      <c r="G79" s="186" t="s">
        <v>2</v>
      </c>
      <c r="H79" s="180" t="s">
        <v>2</v>
      </c>
      <c r="I79" s="178" t="s">
        <v>2</v>
      </c>
      <c r="J79" s="178" t="s">
        <v>2</v>
      </c>
      <c r="K79" s="179" t="s">
        <v>2</v>
      </c>
      <c r="L79" s="178" t="s">
        <v>2</v>
      </c>
      <c r="M79" s="178" t="s">
        <v>2</v>
      </c>
      <c r="N79" s="179" t="s">
        <v>2</v>
      </c>
      <c r="O79" s="178" t="s">
        <v>2</v>
      </c>
      <c r="P79" s="178" t="s">
        <v>2</v>
      </c>
      <c r="Q79" s="178" t="s">
        <v>2</v>
      </c>
      <c r="R79" s="206" t="s">
        <v>2</v>
      </c>
      <c r="S79" s="213" t="s">
        <v>2</v>
      </c>
      <c r="T79" s="54">
        <v>139</v>
      </c>
      <c r="U79" s="55">
        <v>140</v>
      </c>
      <c r="V79" s="177" t="s">
        <v>266</v>
      </c>
      <c r="W79" s="49" t="s">
        <v>266</v>
      </c>
      <c r="X79" s="49" t="s">
        <v>239</v>
      </c>
      <c r="Y79" s="49" t="s">
        <v>266</v>
      </c>
      <c r="Z79" s="49" t="s">
        <v>239</v>
      </c>
      <c r="AA79" s="49" t="s">
        <v>239</v>
      </c>
      <c r="AB79" s="46" t="s">
        <v>266</v>
      </c>
      <c r="AC79" s="154" t="s">
        <v>239</v>
      </c>
      <c r="AD79" s="81" t="s">
        <v>239</v>
      </c>
      <c r="AE79" s="81" t="s">
        <v>239</v>
      </c>
      <c r="AF79" s="46" t="s">
        <v>239</v>
      </c>
      <c r="AG79" s="81" t="s">
        <v>239</v>
      </c>
      <c r="AH79" s="81" t="s">
        <v>239</v>
      </c>
      <c r="AI79" s="81" t="s">
        <v>265</v>
      </c>
      <c r="AJ79" s="57" t="s">
        <v>266</v>
      </c>
      <c r="AK79" s="57" t="s">
        <v>266</v>
      </c>
      <c r="AL79" s="57"/>
      <c r="AM79" s="57" t="s">
        <v>266</v>
      </c>
      <c r="AN79" s="41"/>
      <c r="AO79" s="41"/>
      <c r="AP79" s="41"/>
      <c r="AQ79" s="41"/>
      <c r="AR79" s="41"/>
      <c r="AS79" s="41"/>
      <c r="AT79" s="41"/>
      <c r="AU79" s="41"/>
      <c r="AV79" s="41"/>
      <c r="AW79" s="41"/>
      <c r="AX79" s="41"/>
      <c r="AY79" s="41"/>
      <c r="AZ79" s="41"/>
      <c r="BA79" s="41"/>
      <c r="BB79" s="41"/>
      <c r="BC79" s="41"/>
      <c r="BD79" s="41"/>
      <c r="BE79" s="41"/>
      <c r="BF79" s="41"/>
      <c r="BG79" s="41"/>
      <c r="BH79" s="41"/>
      <c r="BI79" s="41"/>
      <c r="BJ79" s="41"/>
      <c r="BK79" s="41"/>
      <c r="BL79" s="41"/>
      <c r="BM79" s="41"/>
      <c r="BN79" s="41"/>
      <c r="BO79" s="41"/>
      <c r="BP79" s="41"/>
      <c r="BQ79" s="41"/>
      <c r="BR79" s="41"/>
      <c r="BS79" s="41"/>
      <c r="BT79" s="41"/>
      <c r="BU79" s="41"/>
      <c r="BV79" s="41"/>
    </row>
    <row r="80" spans="1:74" ht="14.1" customHeight="1">
      <c r="A80" s="30"/>
      <c r="B80" s="49" t="s">
        <v>263</v>
      </c>
      <c r="C80" s="49" t="s">
        <v>239</v>
      </c>
      <c r="D80" s="49" t="s">
        <v>263</v>
      </c>
      <c r="E80" s="49" t="s">
        <v>239</v>
      </c>
      <c r="F80" s="49" t="s">
        <v>239</v>
      </c>
      <c r="G80" s="49" t="s">
        <v>263</v>
      </c>
      <c r="H80" s="182" t="s">
        <v>239</v>
      </c>
      <c r="I80" s="49" t="s">
        <v>239</v>
      </c>
      <c r="J80" s="91" t="s">
        <v>239</v>
      </c>
      <c r="K80" s="49" t="s">
        <v>239</v>
      </c>
      <c r="L80" s="49" t="s">
        <v>239</v>
      </c>
      <c r="M80" s="49" t="s">
        <v>239</v>
      </c>
      <c r="N80" s="49" t="s">
        <v>262</v>
      </c>
      <c r="O80" s="91" t="s">
        <v>263</v>
      </c>
      <c r="P80" s="91" t="s">
        <v>263</v>
      </c>
      <c r="Q80" s="91" t="s">
        <v>263</v>
      </c>
      <c r="R80" s="207" t="s">
        <v>263</v>
      </c>
      <c r="S80" s="214" t="s">
        <v>263</v>
      </c>
      <c r="T80" s="54">
        <v>141</v>
      </c>
      <c r="U80" s="55">
        <v>142</v>
      </c>
      <c r="V80" s="181" t="s">
        <v>2</v>
      </c>
      <c r="W80" s="178" t="s">
        <v>2</v>
      </c>
      <c r="X80" s="179" t="s">
        <v>2</v>
      </c>
      <c r="Y80" s="179" t="s">
        <v>2</v>
      </c>
      <c r="Z80" s="179" t="s">
        <v>2</v>
      </c>
      <c r="AA80" s="32" t="s">
        <v>2</v>
      </c>
      <c r="AB80" s="32" t="s">
        <v>2</v>
      </c>
      <c r="AC80" s="155" t="s">
        <v>2</v>
      </c>
      <c r="AD80" s="37" t="s">
        <v>2</v>
      </c>
      <c r="AE80" s="37" t="s">
        <v>2</v>
      </c>
      <c r="AF80" s="47" t="s">
        <v>2</v>
      </c>
      <c r="AG80" s="37" t="s">
        <v>2</v>
      </c>
      <c r="AH80" s="37" t="s">
        <v>2</v>
      </c>
      <c r="AI80" s="50" t="s">
        <v>2</v>
      </c>
      <c r="AJ80" s="37" t="s">
        <v>2</v>
      </c>
      <c r="AK80" s="37" t="s">
        <v>2</v>
      </c>
      <c r="AL80" s="37"/>
      <c r="AM80" s="37" t="s">
        <v>2</v>
      </c>
      <c r="AN80" s="41"/>
      <c r="AO80" s="41"/>
      <c r="AP80" s="41"/>
      <c r="AQ80" s="41"/>
      <c r="AR80" s="41"/>
      <c r="AS80" s="41"/>
      <c r="AT80" s="41"/>
      <c r="AU80" s="41"/>
      <c r="AV80" s="41"/>
      <c r="AW80" s="41"/>
      <c r="AX80" s="41"/>
      <c r="AY80" s="41"/>
      <c r="AZ80" s="41"/>
      <c r="BA80" s="41"/>
      <c r="BB80" s="41"/>
      <c r="BC80" s="41"/>
      <c r="BD80" s="41"/>
      <c r="BE80" s="41"/>
      <c r="BF80" s="41"/>
      <c r="BG80" s="41"/>
      <c r="BH80" s="41"/>
      <c r="BI80" s="41"/>
      <c r="BJ80" s="41"/>
      <c r="BK80" s="41"/>
      <c r="BL80" s="41"/>
      <c r="BM80" s="41"/>
      <c r="BN80" s="41"/>
      <c r="BO80" s="41"/>
      <c r="BP80" s="41"/>
      <c r="BQ80" s="41"/>
      <c r="BR80" s="41"/>
      <c r="BS80" s="41"/>
      <c r="BT80" s="41"/>
      <c r="BU80" s="41"/>
      <c r="BV80" s="41"/>
    </row>
    <row r="81" spans="1:74" ht="14.1" customHeight="1">
      <c r="A81" s="30"/>
      <c r="B81" s="178" t="s">
        <v>2</v>
      </c>
      <c r="C81" s="179" t="s">
        <v>2</v>
      </c>
      <c r="D81" s="179" t="s">
        <v>2</v>
      </c>
      <c r="E81" s="179" t="s">
        <v>2</v>
      </c>
      <c r="F81" s="178" t="s">
        <v>2</v>
      </c>
      <c r="G81" s="178" t="s">
        <v>2</v>
      </c>
      <c r="H81" s="180" t="s">
        <v>2</v>
      </c>
      <c r="I81" s="178" t="s">
        <v>2</v>
      </c>
      <c r="J81" s="178" t="s">
        <v>2</v>
      </c>
      <c r="K81" s="179" t="s">
        <v>2</v>
      </c>
      <c r="L81" s="178" t="s">
        <v>2</v>
      </c>
      <c r="M81" s="178" t="s">
        <v>2</v>
      </c>
      <c r="N81" s="179" t="s">
        <v>2</v>
      </c>
      <c r="O81" s="178" t="s">
        <v>2</v>
      </c>
      <c r="P81" s="178" t="s">
        <v>2</v>
      </c>
      <c r="Q81" s="178" t="s">
        <v>2</v>
      </c>
      <c r="R81" s="206" t="s">
        <v>2</v>
      </c>
      <c r="S81" s="213" t="s">
        <v>2</v>
      </c>
      <c r="T81" s="54">
        <v>143</v>
      </c>
      <c r="U81" s="55">
        <v>144</v>
      </c>
      <c r="V81" s="177" t="s">
        <v>84</v>
      </c>
      <c r="W81" s="49" t="s">
        <v>239</v>
      </c>
      <c r="X81" s="49" t="s">
        <v>239</v>
      </c>
      <c r="Y81" s="49" t="s">
        <v>368</v>
      </c>
      <c r="Z81" s="49" t="s">
        <v>368</v>
      </c>
      <c r="AA81" s="49" t="s">
        <v>239</v>
      </c>
      <c r="AB81" s="46" t="s">
        <v>897</v>
      </c>
      <c r="AC81" s="154" t="s">
        <v>368</v>
      </c>
      <c r="AD81" s="46" t="s">
        <v>368</v>
      </c>
      <c r="AE81" s="81" t="s">
        <v>368</v>
      </c>
      <c r="AF81" s="46" t="s">
        <v>897</v>
      </c>
      <c r="AG81" s="81" t="s">
        <v>368</v>
      </c>
      <c r="AH81" s="81" t="s">
        <v>239</v>
      </c>
      <c r="AI81" s="81" t="s">
        <v>368</v>
      </c>
      <c r="AJ81" s="57" t="s">
        <v>368</v>
      </c>
      <c r="AK81" s="57" t="s">
        <v>368</v>
      </c>
      <c r="AL81" s="57"/>
      <c r="AM81" s="57" t="s">
        <v>368</v>
      </c>
      <c r="AN81" s="41"/>
      <c r="AO81" s="41"/>
      <c r="AP81" s="41"/>
      <c r="AQ81" s="41"/>
      <c r="AR81" s="41"/>
      <c r="AS81" s="41"/>
      <c r="AT81" s="41"/>
      <c r="AU81" s="41"/>
      <c r="AV81" s="41"/>
      <c r="AW81" s="41"/>
      <c r="AX81" s="41"/>
      <c r="AY81" s="41"/>
      <c r="AZ81" s="41"/>
      <c r="BA81" s="41"/>
      <c r="BB81" s="41"/>
      <c r="BC81" s="41"/>
      <c r="BD81" s="41"/>
      <c r="BE81" s="41"/>
      <c r="BF81" s="41"/>
      <c r="BG81" s="41"/>
      <c r="BH81" s="41"/>
      <c r="BI81" s="41"/>
      <c r="BJ81" s="41"/>
      <c r="BK81" s="41"/>
      <c r="BL81" s="41"/>
      <c r="BM81" s="41"/>
      <c r="BN81" s="41"/>
      <c r="BO81" s="41"/>
      <c r="BP81" s="41"/>
      <c r="BQ81" s="41"/>
      <c r="BR81" s="41"/>
      <c r="BS81" s="41"/>
      <c r="BT81" s="41"/>
      <c r="BU81" s="41"/>
      <c r="BV81" s="41"/>
    </row>
    <row r="82" spans="1:74" ht="14.1" customHeight="1">
      <c r="A82" s="30"/>
      <c r="B82" s="91" t="s">
        <v>84</v>
      </c>
      <c r="C82" s="49" t="s">
        <v>278</v>
      </c>
      <c r="D82" s="49" t="s">
        <v>278</v>
      </c>
      <c r="E82" s="49" t="s">
        <v>278</v>
      </c>
      <c r="F82" s="91" t="s">
        <v>84</v>
      </c>
      <c r="G82" s="91" t="s">
        <v>278</v>
      </c>
      <c r="H82" s="182" t="s">
        <v>278</v>
      </c>
      <c r="I82" s="91" t="s">
        <v>278</v>
      </c>
      <c r="J82" s="91" t="s">
        <v>278</v>
      </c>
      <c r="K82" s="49" t="s">
        <v>278</v>
      </c>
      <c r="L82" s="91" t="s">
        <v>278</v>
      </c>
      <c r="M82" s="91" t="s">
        <v>84</v>
      </c>
      <c r="N82" s="49" t="s">
        <v>278</v>
      </c>
      <c r="O82" s="91" t="s">
        <v>278</v>
      </c>
      <c r="P82" s="91" t="s">
        <v>278</v>
      </c>
      <c r="Q82" s="91" t="s">
        <v>278</v>
      </c>
      <c r="R82" s="207" t="s">
        <v>278</v>
      </c>
      <c r="S82" s="214" t="s">
        <v>84</v>
      </c>
      <c r="T82" s="54">
        <v>145</v>
      </c>
      <c r="U82" s="55">
        <v>146</v>
      </c>
      <c r="V82" s="177" t="s">
        <v>85</v>
      </c>
      <c r="W82" s="49" t="s">
        <v>239</v>
      </c>
      <c r="X82" s="49" t="s">
        <v>239</v>
      </c>
      <c r="Y82" s="49" t="s">
        <v>369</v>
      </c>
      <c r="Z82" s="49" t="s">
        <v>369</v>
      </c>
      <c r="AA82" s="49" t="s">
        <v>239</v>
      </c>
      <c r="AB82" s="46" t="s">
        <v>898</v>
      </c>
      <c r="AC82" s="154" t="s">
        <v>369</v>
      </c>
      <c r="AD82" s="46" t="s">
        <v>369</v>
      </c>
      <c r="AE82" s="81" t="s">
        <v>369</v>
      </c>
      <c r="AF82" s="46" t="s">
        <v>898</v>
      </c>
      <c r="AG82" s="81" t="s">
        <v>369</v>
      </c>
      <c r="AH82" s="81" t="s">
        <v>239</v>
      </c>
      <c r="AI82" s="81" t="s">
        <v>369</v>
      </c>
      <c r="AJ82" s="57" t="s">
        <v>369</v>
      </c>
      <c r="AK82" s="57" t="s">
        <v>369</v>
      </c>
      <c r="AL82" s="57"/>
      <c r="AM82" s="57" t="s">
        <v>369</v>
      </c>
      <c r="AN82" s="41"/>
      <c r="AO82" s="41"/>
      <c r="AP82" s="41"/>
      <c r="AQ82" s="41"/>
      <c r="AR82" s="41"/>
      <c r="AS82" s="41"/>
      <c r="AT82" s="41"/>
      <c r="AU82" s="41"/>
      <c r="AV82" s="41"/>
      <c r="AW82" s="41"/>
      <c r="AX82" s="41"/>
      <c r="AY82" s="41"/>
      <c r="AZ82" s="41"/>
      <c r="BA82" s="41"/>
      <c r="BB82" s="41"/>
      <c r="BC82" s="41"/>
      <c r="BD82" s="41"/>
      <c r="BE82" s="41"/>
      <c r="BF82" s="41"/>
      <c r="BG82" s="41"/>
      <c r="BH82" s="41"/>
      <c r="BI82" s="41"/>
      <c r="BJ82" s="41"/>
      <c r="BK82" s="41"/>
      <c r="BL82" s="41"/>
      <c r="BM82" s="41"/>
      <c r="BN82" s="41"/>
      <c r="BO82" s="41"/>
      <c r="BP82" s="41"/>
      <c r="BQ82" s="41"/>
      <c r="BR82" s="41"/>
      <c r="BS82" s="41"/>
      <c r="BT82" s="41"/>
      <c r="BU82" s="41"/>
      <c r="BV82" s="41"/>
    </row>
    <row r="83" spans="1:74" ht="14.1" customHeight="1">
      <c r="A83" s="30"/>
      <c r="B83" s="91" t="s">
        <v>85</v>
      </c>
      <c r="C83" s="49" t="s">
        <v>279</v>
      </c>
      <c r="D83" s="49" t="s">
        <v>279</v>
      </c>
      <c r="E83" s="49" t="s">
        <v>279</v>
      </c>
      <c r="F83" s="91" t="s">
        <v>85</v>
      </c>
      <c r="G83" s="91" t="s">
        <v>279</v>
      </c>
      <c r="H83" s="182" t="s">
        <v>279</v>
      </c>
      <c r="I83" s="91" t="s">
        <v>279</v>
      </c>
      <c r="J83" s="91" t="s">
        <v>279</v>
      </c>
      <c r="K83" s="49" t="s">
        <v>279</v>
      </c>
      <c r="L83" s="91" t="s">
        <v>279</v>
      </c>
      <c r="M83" s="91" t="s">
        <v>85</v>
      </c>
      <c r="N83" s="49" t="s">
        <v>279</v>
      </c>
      <c r="O83" s="91" t="s">
        <v>279</v>
      </c>
      <c r="P83" s="91" t="s">
        <v>279</v>
      </c>
      <c r="Q83" s="91" t="s">
        <v>279</v>
      </c>
      <c r="R83" s="207" t="s">
        <v>279</v>
      </c>
      <c r="S83" s="214" t="s">
        <v>85</v>
      </c>
      <c r="T83" s="54">
        <v>147</v>
      </c>
      <c r="U83" s="55">
        <v>148</v>
      </c>
      <c r="V83" s="177" t="s">
        <v>75</v>
      </c>
      <c r="W83" s="49" t="s">
        <v>239</v>
      </c>
      <c r="X83" s="49" t="s">
        <v>239</v>
      </c>
      <c r="Y83" s="49" t="s">
        <v>82</v>
      </c>
      <c r="Z83" s="49" t="s">
        <v>82</v>
      </c>
      <c r="AA83" s="49" t="s">
        <v>239</v>
      </c>
      <c r="AB83" s="46" t="s">
        <v>1278</v>
      </c>
      <c r="AC83" s="154" t="s">
        <v>82</v>
      </c>
      <c r="AD83" s="46" t="s">
        <v>82</v>
      </c>
      <c r="AE83" s="81" t="s">
        <v>82</v>
      </c>
      <c r="AF83" s="46" t="s">
        <v>1278</v>
      </c>
      <c r="AG83" s="81" t="s">
        <v>82</v>
      </c>
      <c r="AH83" s="81" t="s">
        <v>239</v>
      </c>
      <c r="AI83" s="81" t="s">
        <v>370</v>
      </c>
      <c r="AJ83" s="57" t="s">
        <v>370</v>
      </c>
      <c r="AK83" s="57" t="s">
        <v>370</v>
      </c>
      <c r="AL83" s="57"/>
      <c r="AM83" s="57" t="s">
        <v>370</v>
      </c>
      <c r="AN83" s="41"/>
      <c r="AO83" s="41"/>
      <c r="AP83" s="41"/>
      <c r="AQ83" s="41"/>
      <c r="AR83" s="41"/>
      <c r="AS83" s="41"/>
      <c r="AT83" s="41"/>
      <c r="AU83" s="41"/>
      <c r="AV83" s="41"/>
      <c r="AW83" s="41"/>
      <c r="AX83" s="41"/>
      <c r="AY83" s="41"/>
      <c r="AZ83" s="41"/>
      <c r="BA83" s="41"/>
      <c r="BB83" s="41"/>
      <c r="BC83" s="41"/>
      <c r="BD83" s="41"/>
      <c r="BE83" s="41"/>
      <c r="BF83" s="41"/>
      <c r="BG83" s="41"/>
      <c r="BH83" s="41"/>
      <c r="BI83" s="41"/>
      <c r="BJ83" s="41"/>
      <c r="BK83" s="41"/>
      <c r="BL83" s="41"/>
      <c r="BM83" s="41"/>
      <c r="BN83" s="41"/>
      <c r="BO83" s="41"/>
      <c r="BP83" s="41"/>
      <c r="BQ83" s="41"/>
      <c r="BR83" s="41"/>
      <c r="BS83" s="41"/>
      <c r="BT83" s="41"/>
      <c r="BU83" s="41"/>
      <c r="BV83" s="41"/>
    </row>
    <row r="84" spans="1:74" ht="14.1" customHeight="1">
      <c r="A84" s="30"/>
      <c r="B84" s="91" t="s">
        <v>75</v>
      </c>
      <c r="C84" s="49" t="s">
        <v>74</v>
      </c>
      <c r="D84" s="49" t="s">
        <v>74</v>
      </c>
      <c r="E84" s="49" t="s">
        <v>74</v>
      </c>
      <c r="F84" s="91" t="s">
        <v>75</v>
      </c>
      <c r="G84" s="91" t="s">
        <v>74</v>
      </c>
      <c r="H84" s="182" t="s">
        <v>74</v>
      </c>
      <c r="I84" s="91" t="s">
        <v>74</v>
      </c>
      <c r="J84" s="91" t="s">
        <v>74</v>
      </c>
      <c r="K84" s="49" t="s">
        <v>74</v>
      </c>
      <c r="L84" s="91" t="s">
        <v>74</v>
      </c>
      <c r="M84" s="91" t="s">
        <v>75</v>
      </c>
      <c r="N84" s="49" t="s">
        <v>280</v>
      </c>
      <c r="O84" s="91" t="s">
        <v>280</v>
      </c>
      <c r="P84" s="91" t="s">
        <v>280</v>
      </c>
      <c r="Q84" s="91" t="s">
        <v>280</v>
      </c>
      <c r="R84" s="207" t="s">
        <v>280</v>
      </c>
      <c r="S84" s="214" t="s">
        <v>75</v>
      </c>
      <c r="T84" s="54">
        <v>149</v>
      </c>
      <c r="U84" s="55">
        <v>150</v>
      </c>
      <c r="V84" s="177" t="s">
        <v>80</v>
      </c>
      <c r="W84" s="49" t="s">
        <v>239</v>
      </c>
      <c r="X84" s="49" t="s">
        <v>239</v>
      </c>
      <c r="Y84" s="49" t="s">
        <v>371</v>
      </c>
      <c r="Z84" s="49" t="s">
        <v>371</v>
      </c>
      <c r="AA84" s="49" t="s">
        <v>239</v>
      </c>
      <c r="AB84" s="46" t="s">
        <v>899</v>
      </c>
      <c r="AC84" s="154" t="s">
        <v>371</v>
      </c>
      <c r="AD84" s="46" t="s">
        <v>371</v>
      </c>
      <c r="AE84" s="81" t="s">
        <v>371</v>
      </c>
      <c r="AF84" s="46" t="s">
        <v>899</v>
      </c>
      <c r="AG84" s="81" t="s">
        <v>371</v>
      </c>
      <c r="AH84" s="81" t="s">
        <v>239</v>
      </c>
      <c r="AI84" s="81" t="s">
        <v>371</v>
      </c>
      <c r="AJ84" s="57" t="s">
        <v>371</v>
      </c>
      <c r="AK84" s="57" t="s">
        <v>371</v>
      </c>
      <c r="AL84" s="57"/>
      <c r="AM84" s="57" t="s">
        <v>371</v>
      </c>
      <c r="AN84" s="41"/>
      <c r="AO84" s="41"/>
      <c r="AP84" s="41"/>
      <c r="AQ84" s="41"/>
      <c r="AR84" s="41"/>
      <c r="AS84" s="41"/>
      <c r="AT84" s="41"/>
      <c r="AU84" s="41"/>
      <c r="AV84" s="41"/>
      <c r="AW84" s="41"/>
      <c r="AX84" s="41"/>
      <c r="AY84" s="41"/>
      <c r="AZ84" s="41"/>
      <c r="BA84" s="41"/>
      <c r="BB84" s="41"/>
      <c r="BC84" s="41"/>
      <c r="BD84" s="41"/>
      <c r="BE84" s="41"/>
      <c r="BF84" s="41"/>
      <c r="BG84" s="41"/>
      <c r="BH84" s="41"/>
      <c r="BI84" s="41"/>
      <c r="BJ84" s="41"/>
      <c r="BK84" s="41"/>
      <c r="BL84" s="41"/>
      <c r="BM84" s="41"/>
      <c r="BN84" s="41"/>
      <c r="BO84" s="41"/>
      <c r="BP84" s="41"/>
      <c r="BQ84" s="41"/>
      <c r="BR84" s="41"/>
      <c r="BS84" s="41"/>
      <c r="BT84" s="41"/>
      <c r="BU84" s="41"/>
      <c r="BV84" s="41"/>
    </row>
    <row r="85" spans="1:74" ht="14.1" customHeight="1">
      <c r="A85" s="30"/>
      <c r="B85" s="91" t="s">
        <v>80</v>
      </c>
      <c r="C85" s="49" t="s">
        <v>281</v>
      </c>
      <c r="D85" s="49" t="s">
        <v>281</v>
      </c>
      <c r="E85" s="49" t="s">
        <v>281</v>
      </c>
      <c r="F85" s="91" t="s">
        <v>80</v>
      </c>
      <c r="G85" s="91" t="s">
        <v>281</v>
      </c>
      <c r="H85" s="182" t="s">
        <v>281</v>
      </c>
      <c r="I85" s="91" t="s">
        <v>281</v>
      </c>
      <c r="J85" s="91" t="s">
        <v>281</v>
      </c>
      <c r="K85" s="49" t="s">
        <v>281</v>
      </c>
      <c r="L85" s="91" t="s">
        <v>281</v>
      </c>
      <c r="M85" s="91" t="s">
        <v>80</v>
      </c>
      <c r="N85" s="49" t="s">
        <v>281</v>
      </c>
      <c r="O85" s="91" t="s">
        <v>281</v>
      </c>
      <c r="P85" s="91" t="s">
        <v>281</v>
      </c>
      <c r="Q85" s="91" t="s">
        <v>281</v>
      </c>
      <c r="R85" s="207" t="s">
        <v>281</v>
      </c>
      <c r="S85" s="214" t="s">
        <v>80</v>
      </c>
      <c r="T85" s="54">
        <v>151</v>
      </c>
      <c r="U85" s="55">
        <v>152</v>
      </c>
      <c r="V85" s="177" t="s">
        <v>81</v>
      </c>
      <c r="W85" s="49" t="s">
        <v>239</v>
      </c>
      <c r="X85" s="49" t="s">
        <v>239</v>
      </c>
      <c r="Y85" s="49" t="s">
        <v>372</v>
      </c>
      <c r="Z85" s="49" t="s">
        <v>372</v>
      </c>
      <c r="AA85" s="49" t="s">
        <v>239</v>
      </c>
      <c r="AB85" s="46" t="s">
        <v>900</v>
      </c>
      <c r="AC85" s="154" t="s">
        <v>372</v>
      </c>
      <c r="AD85" s="46" t="s">
        <v>372</v>
      </c>
      <c r="AE85" s="81" t="s">
        <v>372</v>
      </c>
      <c r="AF85" s="46" t="s">
        <v>900</v>
      </c>
      <c r="AG85" s="81" t="s">
        <v>372</v>
      </c>
      <c r="AH85" s="81" t="s">
        <v>239</v>
      </c>
      <c r="AI85" s="81" t="s">
        <v>372</v>
      </c>
      <c r="AJ85" s="57" t="s">
        <v>372</v>
      </c>
      <c r="AK85" s="57" t="s">
        <v>372</v>
      </c>
      <c r="AL85" s="57"/>
      <c r="AM85" s="57" t="s">
        <v>372</v>
      </c>
      <c r="AN85" s="41"/>
      <c r="AO85" s="41"/>
      <c r="AP85" s="41"/>
      <c r="AQ85" s="41"/>
      <c r="AR85" s="41"/>
      <c r="AS85" s="41"/>
      <c r="AT85" s="41"/>
      <c r="AU85" s="41"/>
      <c r="AV85" s="41"/>
      <c r="AW85" s="41"/>
      <c r="AX85" s="41"/>
      <c r="AY85" s="41"/>
      <c r="AZ85" s="41"/>
      <c r="BA85" s="41"/>
      <c r="BB85" s="41"/>
      <c r="BC85" s="41"/>
      <c r="BD85" s="41"/>
      <c r="BE85" s="41"/>
      <c r="BF85" s="41"/>
      <c r="BG85" s="41"/>
      <c r="BH85" s="41"/>
      <c r="BI85" s="41"/>
      <c r="BJ85" s="41"/>
      <c r="BK85" s="41"/>
      <c r="BL85" s="41"/>
      <c r="BM85" s="41"/>
      <c r="BN85" s="41"/>
      <c r="BO85" s="41"/>
      <c r="BP85" s="41"/>
      <c r="BQ85" s="41"/>
      <c r="BR85" s="41"/>
      <c r="BS85" s="41"/>
      <c r="BT85" s="41"/>
      <c r="BU85" s="41"/>
      <c r="BV85" s="41"/>
    </row>
    <row r="86" spans="1:74" ht="14.1" customHeight="1">
      <c r="A86" s="30"/>
      <c r="B86" s="91" t="s">
        <v>81</v>
      </c>
      <c r="C86" s="49" t="s">
        <v>282</v>
      </c>
      <c r="D86" s="49" t="s">
        <v>282</v>
      </c>
      <c r="E86" s="49" t="s">
        <v>282</v>
      </c>
      <c r="F86" s="91" t="s">
        <v>81</v>
      </c>
      <c r="G86" s="91" t="s">
        <v>282</v>
      </c>
      <c r="H86" s="182" t="s">
        <v>282</v>
      </c>
      <c r="I86" s="91" t="s">
        <v>282</v>
      </c>
      <c r="J86" s="91" t="s">
        <v>282</v>
      </c>
      <c r="K86" s="49" t="s">
        <v>282</v>
      </c>
      <c r="L86" s="91" t="s">
        <v>282</v>
      </c>
      <c r="M86" s="91" t="s">
        <v>81</v>
      </c>
      <c r="N86" s="49" t="s">
        <v>282</v>
      </c>
      <c r="O86" s="91" t="s">
        <v>282</v>
      </c>
      <c r="P86" s="91" t="s">
        <v>282</v>
      </c>
      <c r="Q86" s="91" t="s">
        <v>282</v>
      </c>
      <c r="R86" s="207" t="s">
        <v>282</v>
      </c>
      <c r="S86" s="214" t="s">
        <v>81</v>
      </c>
      <c r="T86" s="54">
        <v>153</v>
      </c>
      <c r="U86" s="55">
        <v>154</v>
      </c>
      <c r="V86" s="175" t="s">
        <v>8</v>
      </c>
      <c r="W86" s="49" t="s">
        <v>239</v>
      </c>
      <c r="X86" s="49" t="s">
        <v>239</v>
      </c>
      <c r="Y86" s="173" t="s">
        <v>373</v>
      </c>
      <c r="Z86" s="173" t="s">
        <v>373</v>
      </c>
      <c r="AA86" s="49" t="s">
        <v>239</v>
      </c>
      <c r="AB86" s="45" t="s">
        <v>373</v>
      </c>
      <c r="AC86" s="45" t="s">
        <v>373</v>
      </c>
      <c r="AD86" s="45" t="s">
        <v>373</v>
      </c>
      <c r="AE86" s="45" t="s">
        <v>373</v>
      </c>
      <c r="AF86" s="45" t="s">
        <v>373</v>
      </c>
      <c r="AG86" s="45" t="s">
        <v>373</v>
      </c>
      <c r="AH86" s="81" t="s">
        <v>239</v>
      </c>
      <c r="AI86" s="51" t="s">
        <v>373</v>
      </c>
      <c r="AJ86" s="38" t="s">
        <v>373</v>
      </c>
      <c r="AK86" s="38" t="s">
        <v>373</v>
      </c>
      <c r="AL86" s="38"/>
      <c r="AM86" s="38" t="s">
        <v>373</v>
      </c>
      <c r="AN86" s="41"/>
      <c r="AO86" s="41"/>
      <c r="AP86" s="41"/>
      <c r="AQ86" s="41"/>
      <c r="AR86" s="41"/>
      <c r="AS86" s="41"/>
      <c r="AT86" s="41"/>
      <c r="AU86" s="41"/>
      <c r="AV86" s="41"/>
      <c r="AW86" s="41"/>
      <c r="AX86" s="41"/>
      <c r="AY86" s="41"/>
      <c r="AZ86" s="41"/>
      <c r="BA86" s="41"/>
      <c r="BB86" s="41"/>
      <c r="BC86" s="41"/>
      <c r="BD86" s="41"/>
      <c r="BE86" s="41"/>
      <c r="BF86" s="41"/>
      <c r="BG86" s="41"/>
      <c r="BH86" s="41"/>
      <c r="BI86" s="41"/>
      <c r="BJ86" s="41"/>
      <c r="BK86" s="41"/>
      <c r="BL86" s="41"/>
      <c r="BM86" s="41"/>
      <c r="BN86" s="41"/>
      <c r="BO86" s="41"/>
      <c r="BP86" s="41"/>
      <c r="BQ86" s="41"/>
      <c r="BR86" s="41"/>
      <c r="BS86" s="41"/>
      <c r="BT86" s="41"/>
      <c r="BU86" s="41"/>
      <c r="BV86" s="41"/>
    </row>
    <row r="87" spans="1:74" ht="14.1" customHeight="1">
      <c r="A87" s="30"/>
      <c r="B87" s="173" t="s">
        <v>8</v>
      </c>
      <c r="C87" s="173" t="s">
        <v>283</v>
      </c>
      <c r="D87" s="173" t="s">
        <v>283</v>
      </c>
      <c r="E87" s="173" t="s">
        <v>283</v>
      </c>
      <c r="F87" s="173" t="s">
        <v>8</v>
      </c>
      <c r="G87" s="173" t="s">
        <v>283</v>
      </c>
      <c r="H87" s="173" t="s">
        <v>283</v>
      </c>
      <c r="I87" s="173" t="s">
        <v>283</v>
      </c>
      <c r="J87" s="173" t="s">
        <v>283</v>
      </c>
      <c r="K87" s="173" t="s">
        <v>283</v>
      </c>
      <c r="L87" s="173" t="s">
        <v>283</v>
      </c>
      <c r="M87" s="173" t="s">
        <v>8</v>
      </c>
      <c r="N87" s="173" t="s">
        <v>283</v>
      </c>
      <c r="O87" s="172" t="s">
        <v>283</v>
      </c>
      <c r="P87" s="172" t="s">
        <v>283</v>
      </c>
      <c r="Q87" s="172" t="s">
        <v>283</v>
      </c>
      <c r="R87" s="205" t="s">
        <v>283</v>
      </c>
      <c r="S87" s="212" t="s">
        <v>8</v>
      </c>
      <c r="T87" s="54">
        <v>155</v>
      </c>
      <c r="U87" s="55">
        <v>156</v>
      </c>
      <c r="V87" s="177" t="s">
        <v>78</v>
      </c>
      <c r="W87" s="49" t="s">
        <v>239</v>
      </c>
      <c r="X87" s="49" t="s">
        <v>239</v>
      </c>
      <c r="Y87" s="49" t="s">
        <v>374</v>
      </c>
      <c r="Z87" s="49" t="s">
        <v>374</v>
      </c>
      <c r="AA87" s="49" t="s">
        <v>239</v>
      </c>
      <c r="AB87" s="46" t="s">
        <v>901</v>
      </c>
      <c r="AC87" s="154" t="s">
        <v>374</v>
      </c>
      <c r="AD87" s="46" t="s">
        <v>374</v>
      </c>
      <c r="AE87" s="81" t="s">
        <v>374</v>
      </c>
      <c r="AF87" s="46" t="s">
        <v>901</v>
      </c>
      <c r="AG87" s="81" t="s">
        <v>374</v>
      </c>
      <c r="AH87" s="81" t="s">
        <v>239</v>
      </c>
      <c r="AI87" s="81" t="s">
        <v>374</v>
      </c>
      <c r="AJ87" s="57" t="s">
        <v>374</v>
      </c>
      <c r="AK87" s="57" t="s">
        <v>374</v>
      </c>
      <c r="AL87" s="57"/>
      <c r="AM87" s="57" t="s">
        <v>374</v>
      </c>
      <c r="AN87" s="41"/>
      <c r="AO87" s="41"/>
      <c r="AP87" s="41"/>
      <c r="AQ87" s="41"/>
      <c r="AR87" s="41"/>
      <c r="AS87" s="41"/>
      <c r="AT87" s="41"/>
      <c r="AU87" s="41"/>
      <c r="AV87" s="41"/>
      <c r="AW87" s="41"/>
      <c r="AX87" s="41"/>
      <c r="AY87" s="41"/>
      <c r="AZ87" s="41"/>
      <c r="BA87" s="41"/>
      <c r="BB87" s="41"/>
      <c r="BC87" s="41"/>
      <c r="BD87" s="41"/>
      <c r="BE87" s="41"/>
      <c r="BF87" s="41"/>
      <c r="BG87" s="41"/>
      <c r="BH87" s="41"/>
      <c r="BI87" s="41"/>
      <c r="BJ87" s="41"/>
      <c r="BK87" s="41"/>
      <c r="BL87" s="41"/>
      <c r="BM87" s="41"/>
      <c r="BN87" s="41"/>
      <c r="BO87" s="41"/>
      <c r="BP87" s="41"/>
      <c r="BQ87" s="41"/>
      <c r="BR87" s="41"/>
      <c r="BS87" s="41"/>
      <c r="BT87" s="41"/>
      <c r="BU87" s="41"/>
      <c r="BV87" s="41"/>
    </row>
    <row r="88" spans="1:74" ht="14.1" customHeight="1">
      <c r="A88" s="30"/>
      <c r="B88" s="91" t="s">
        <v>78</v>
      </c>
      <c r="C88" s="49" t="s">
        <v>284</v>
      </c>
      <c r="D88" s="49" t="s">
        <v>284</v>
      </c>
      <c r="E88" s="49" t="s">
        <v>284</v>
      </c>
      <c r="F88" s="91" t="s">
        <v>78</v>
      </c>
      <c r="G88" s="91" t="s">
        <v>284</v>
      </c>
      <c r="H88" s="182" t="s">
        <v>284</v>
      </c>
      <c r="I88" s="91" t="s">
        <v>284</v>
      </c>
      <c r="J88" s="91" t="s">
        <v>284</v>
      </c>
      <c r="K88" s="49" t="s">
        <v>284</v>
      </c>
      <c r="L88" s="91" t="s">
        <v>284</v>
      </c>
      <c r="M88" s="91" t="s">
        <v>78</v>
      </c>
      <c r="N88" s="49" t="s">
        <v>284</v>
      </c>
      <c r="O88" s="91" t="s">
        <v>284</v>
      </c>
      <c r="P88" s="91" t="s">
        <v>284</v>
      </c>
      <c r="Q88" s="91" t="s">
        <v>284</v>
      </c>
      <c r="R88" s="207" t="s">
        <v>284</v>
      </c>
      <c r="S88" s="214" t="s">
        <v>78</v>
      </c>
      <c r="T88" s="54">
        <v>157</v>
      </c>
      <c r="U88" s="55">
        <v>158</v>
      </c>
      <c r="V88" s="177" t="s">
        <v>79</v>
      </c>
      <c r="W88" s="49" t="s">
        <v>239</v>
      </c>
      <c r="X88" s="49" t="s">
        <v>239</v>
      </c>
      <c r="Y88" s="49" t="s">
        <v>375</v>
      </c>
      <c r="Z88" s="49" t="s">
        <v>375</v>
      </c>
      <c r="AA88" s="49" t="s">
        <v>239</v>
      </c>
      <c r="AB88" s="46" t="s">
        <v>902</v>
      </c>
      <c r="AC88" s="154" t="s">
        <v>375</v>
      </c>
      <c r="AD88" s="46" t="s">
        <v>375</v>
      </c>
      <c r="AE88" s="81" t="s">
        <v>375</v>
      </c>
      <c r="AF88" s="46" t="s">
        <v>902</v>
      </c>
      <c r="AG88" s="81" t="s">
        <v>375</v>
      </c>
      <c r="AH88" s="81" t="s">
        <v>239</v>
      </c>
      <c r="AI88" s="81" t="s">
        <v>375</v>
      </c>
      <c r="AJ88" s="57" t="s">
        <v>375</v>
      </c>
      <c r="AK88" s="57" t="s">
        <v>375</v>
      </c>
      <c r="AL88" s="57"/>
      <c r="AM88" s="57" t="s">
        <v>375</v>
      </c>
      <c r="AN88" s="41"/>
      <c r="AO88" s="41"/>
      <c r="AP88" s="41"/>
      <c r="AQ88" s="41"/>
      <c r="AR88" s="41"/>
      <c r="AS88" s="41"/>
      <c r="AT88" s="41"/>
      <c r="AU88" s="41"/>
      <c r="AV88" s="41"/>
      <c r="AW88" s="41"/>
      <c r="AX88" s="41"/>
      <c r="AY88" s="41"/>
      <c r="AZ88" s="41"/>
      <c r="BA88" s="41"/>
      <c r="BB88" s="41"/>
      <c r="BC88" s="41"/>
      <c r="BD88" s="41"/>
      <c r="BE88" s="41"/>
      <c r="BF88" s="41"/>
      <c r="BG88" s="41"/>
      <c r="BH88" s="41"/>
      <c r="BI88" s="41"/>
      <c r="BJ88" s="41"/>
      <c r="BK88" s="41"/>
      <c r="BL88" s="41"/>
      <c r="BM88" s="41"/>
      <c r="BN88" s="41"/>
      <c r="BO88" s="41"/>
      <c r="BP88" s="41"/>
      <c r="BQ88" s="41"/>
      <c r="BR88" s="41"/>
      <c r="BS88" s="41"/>
      <c r="BT88" s="41"/>
      <c r="BU88" s="41"/>
      <c r="BV88" s="41"/>
    </row>
    <row r="89" spans="1:74" ht="14.1" customHeight="1">
      <c r="A89" s="30"/>
      <c r="B89" s="91" t="s">
        <v>79</v>
      </c>
      <c r="C89" s="49" t="s">
        <v>285</v>
      </c>
      <c r="D89" s="49" t="s">
        <v>285</v>
      </c>
      <c r="E89" s="49" t="s">
        <v>285</v>
      </c>
      <c r="F89" s="91" t="s">
        <v>79</v>
      </c>
      <c r="G89" s="91" t="s">
        <v>285</v>
      </c>
      <c r="H89" s="182" t="s">
        <v>285</v>
      </c>
      <c r="I89" s="91" t="s">
        <v>285</v>
      </c>
      <c r="J89" s="91" t="s">
        <v>285</v>
      </c>
      <c r="K89" s="49" t="s">
        <v>285</v>
      </c>
      <c r="L89" s="91" t="s">
        <v>285</v>
      </c>
      <c r="M89" s="91" t="s">
        <v>79</v>
      </c>
      <c r="N89" s="49" t="s">
        <v>285</v>
      </c>
      <c r="O89" s="91" t="s">
        <v>285</v>
      </c>
      <c r="P89" s="91" t="s">
        <v>285</v>
      </c>
      <c r="Q89" s="91" t="s">
        <v>285</v>
      </c>
      <c r="R89" s="207" t="s">
        <v>285</v>
      </c>
      <c r="S89" s="214" t="s">
        <v>79</v>
      </c>
      <c r="T89" s="54">
        <v>159</v>
      </c>
      <c r="U89" s="55">
        <v>160</v>
      </c>
      <c r="V89" s="177" t="s">
        <v>77</v>
      </c>
      <c r="W89" s="49" t="s">
        <v>239</v>
      </c>
      <c r="X89" s="49" t="s">
        <v>239</v>
      </c>
      <c r="Y89" s="49" t="s">
        <v>83</v>
      </c>
      <c r="Z89" s="49" t="s">
        <v>83</v>
      </c>
      <c r="AA89" s="49" t="s">
        <v>239</v>
      </c>
      <c r="AB89" s="46" t="s">
        <v>1279</v>
      </c>
      <c r="AC89" s="154" t="s">
        <v>83</v>
      </c>
      <c r="AD89" s="46" t="s">
        <v>83</v>
      </c>
      <c r="AE89" s="81" t="s">
        <v>83</v>
      </c>
      <c r="AF89" s="46" t="s">
        <v>1279</v>
      </c>
      <c r="AG89" s="81" t="s">
        <v>83</v>
      </c>
      <c r="AH89" s="81" t="s">
        <v>239</v>
      </c>
      <c r="AI89" s="81" t="s">
        <v>82</v>
      </c>
      <c r="AJ89" s="57" t="s">
        <v>82</v>
      </c>
      <c r="AK89" s="57" t="s">
        <v>82</v>
      </c>
      <c r="AL89" s="57"/>
      <c r="AM89" s="57" t="s">
        <v>82</v>
      </c>
      <c r="AN89" s="41"/>
      <c r="AO89" s="41"/>
      <c r="AP89" s="41"/>
      <c r="AQ89" s="41"/>
      <c r="AR89" s="41"/>
      <c r="AS89" s="41"/>
      <c r="AT89" s="41"/>
      <c r="AU89" s="41"/>
      <c r="AV89" s="41"/>
      <c r="AW89" s="41"/>
      <c r="AX89" s="41"/>
      <c r="AY89" s="41"/>
      <c r="AZ89" s="41"/>
      <c r="BA89" s="41"/>
      <c r="BB89" s="41"/>
      <c r="BC89" s="41"/>
      <c r="BD89" s="41"/>
      <c r="BE89" s="41"/>
      <c r="BF89" s="41"/>
      <c r="BG89" s="41"/>
      <c r="BH89" s="41"/>
      <c r="BI89" s="41"/>
      <c r="BJ89" s="41"/>
      <c r="BK89" s="41"/>
      <c r="BL89" s="41"/>
      <c r="BM89" s="41"/>
      <c r="BN89" s="41"/>
      <c r="BO89" s="41"/>
      <c r="BP89" s="41"/>
      <c r="BQ89" s="41"/>
      <c r="BR89" s="41"/>
      <c r="BS89" s="41"/>
      <c r="BT89" s="41"/>
      <c r="BU89" s="41"/>
      <c r="BV89" s="41"/>
    </row>
    <row r="90" spans="1:74" ht="14.1" customHeight="1">
      <c r="A90" s="30"/>
      <c r="B90" s="91" t="s">
        <v>77</v>
      </c>
      <c r="C90" s="49" t="s">
        <v>76</v>
      </c>
      <c r="D90" s="49" t="s">
        <v>76</v>
      </c>
      <c r="E90" s="49" t="s">
        <v>76</v>
      </c>
      <c r="F90" s="91" t="s">
        <v>77</v>
      </c>
      <c r="G90" s="91" t="s">
        <v>76</v>
      </c>
      <c r="H90" s="182" t="s">
        <v>76</v>
      </c>
      <c r="I90" s="91" t="s">
        <v>76</v>
      </c>
      <c r="J90" s="91" t="s">
        <v>76</v>
      </c>
      <c r="K90" s="49" t="s">
        <v>76</v>
      </c>
      <c r="L90" s="91" t="s">
        <v>76</v>
      </c>
      <c r="M90" s="91" t="s">
        <v>77</v>
      </c>
      <c r="N90" s="49" t="s">
        <v>74</v>
      </c>
      <c r="O90" s="91" t="s">
        <v>74</v>
      </c>
      <c r="P90" s="91" t="s">
        <v>74</v>
      </c>
      <c r="Q90" s="91" t="s">
        <v>74</v>
      </c>
      <c r="R90" s="207" t="s">
        <v>74</v>
      </c>
      <c r="S90" s="214" t="s">
        <v>77</v>
      </c>
      <c r="T90" s="54">
        <v>161</v>
      </c>
      <c r="U90" s="55">
        <v>162</v>
      </c>
      <c r="V90" s="177" t="s">
        <v>72</v>
      </c>
      <c r="W90" s="49" t="s">
        <v>239</v>
      </c>
      <c r="X90" s="49" t="s">
        <v>239</v>
      </c>
      <c r="Y90" s="49" t="s">
        <v>376</v>
      </c>
      <c r="Z90" s="49" t="s">
        <v>376</v>
      </c>
      <c r="AA90" s="49" t="s">
        <v>239</v>
      </c>
      <c r="AB90" s="46" t="s">
        <v>903</v>
      </c>
      <c r="AC90" s="154" t="s">
        <v>376</v>
      </c>
      <c r="AD90" s="46" t="s">
        <v>376</v>
      </c>
      <c r="AE90" s="81" t="s">
        <v>376</v>
      </c>
      <c r="AF90" s="46" t="s">
        <v>903</v>
      </c>
      <c r="AG90" s="81" t="s">
        <v>376</v>
      </c>
      <c r="AH90" s="81" t="s">
        <v>239</v>
      </c>
      <c r="AI90" s="81" t="s">
        <v>376</v>
      </c>
      <c r="AJ90" s="57" t="s">
        <v>376</v>
      </c>
      <c r="AK90" s="57" t="s">
        <v>376</v>
      </c>
      <c r="AL90" s="57"/>
      <c r="AM90" s="57" t="s">
        <v>376</v>
      </c>
      <c r="AN90" s="41"/>
      <c r="AO90" s="41"/>
      <c r="AP90" s="41"/>
      <c r="AQ90" s="41"/>
      <c r="AR90" s="41"/>
      <c r="AS90" s="41"/>
      <c r="AT90" s="41"/>
      <c r="AU90" s="41"/>
      <c r="AV90" s="41"/>
      <c r="AW90" s="41"/>
      <c r="AX90" s="41"/>
      <c r="AY90" s="41"/>
      <c r="AZ90" s="41"/>
      <c r="BA90" s="41"/>
      <c r="BB90" s="41"/>
      <c r="BC90" s="41"/>
      <c r="BD90" s="41"/>
      <c r="BE90" s="41"/>
      <c r="BF90" s="41"/>
      <c r="BG90" s="41"/>
      <c r="BH90" s="41"/>
      <c r="BI90" s="41"/>
      <c r="BJ90" s="41"/>
      <c r="BK90" s="41"/>
      <c r="BL90" s="41"/>
      <c r="BM90" s="41"/>
      <c r="BN90" s="41"/>
      <c r="BO90" s="41"/>
      <c r="BP90" s="41"/>
      <c r="BQ90" s="41"/>
      <c r="BR90" s="41"/>
      <c r="BS90" s="41"/>
      <c r="BT90" s="41"/>
      <c r="BU90" s="41"/>
      <c r="BV90" s="41"/>
    </row>
    <row r="91" spans="1:74" ht="14.1" customHeight="1">
      <c r="A91" s="30"/>
      <c r="B91" s="57" t="s">
        <v>72</v>
      </c>
      <c r="C91" s="81" t="s">
        <v>286</v>
      </c>
      <c r="D91" s="81" t="s">
        <v>286</v>
      </c>
      <c r="E91" s="81" t="s">
        <v>286</v>
      </c>
      <c r="F91" s="57" t="s">
        <v>72</v>
      </c>
      <c r="G91" s="57" t="s">
        <v>286</v>
      </c>
      <c r="H91" s="182" t="s">
        <v>286</v>
      </c>
      <c r="I91" s="57" t="s">
        <v>286</v>
      </c>
      <c r="J91" s="57" t="s">
        <v>286</v>
      </c>
      <c r="K91" s="81" t="s">
        <v>286</v>
      </c>
      <c r="L91" s="57" t="s">
        <v>286</v>
      </c>
      <c r="M91" s="57" t="s">
        <v>72</v>
      </c>
      <c r="N91" s="81" t="s">
        <v>286</v>
      </c>
      <c r="O91" s="57" t="s">
        <v>286</v>
      </c>
      <c r="P91" s="57" t="s">
        <v>286</v>
      </c>
      <c r="Q91" s="57" t="s">
        <v>286</v>
      </c>
      <c r="R91" s="127" t="s">
        <v>286</v>
      </c>
      <c r="S91" s="216" t="s">
        <v>72</v>
      </c>
      <c r="T91" s="56">
        <v>163</v>
      </c>
      <c r="U91" s="27">
        <v>164</v>
      </c>
      <c r="V91" s="86" t="s">
        <v>73</v>
      </c>
      <c r="W91" s="81" t="s">
        <v>239</v>
      </c>
      <c r="X91" s="81" t="s">
        <v>239</v>
      </c>
      <c r="Y91" s="81" t="s">
        <v>377</v>
      </c>
      <c r="Z91" s="81" t="s">
        <v>377</v>
      </c>
      <c r="AA91" s="81" t="s">
        <v>239</v>
      </c>
      <c r="AB91" s="81" t="s">
        <v>904</v>
      </c>
      <c r="AC91" s="154" t="s">
        <v>377</v>
      </c>
      <c r="AD91" s="81" t="s">
        <v>377</v>
      </c>
      <c r="AE91" s="81" t="s">
        <v>377</v>
      </c>
      <c r="AF91" s="81" t="s">
        <v>904</v>
      </c>
      <c r="AG91" s="81" t="s">
        <v>377</v>
      </c>
      <c r="AH91" s="81" t="s">
        <v>239</v>
      </c>
      <c r="AI91" s="81" t="s">
        <v>377</v>
      </c>
      <c r="AJ91" s="57" t="s">
        <v>377</v>
      </c>
      <c r="AK91" s="57" t="s">
        <v>377</v>
      </c>
      <c r="AL91" s="57"/>
      <c r="AM91" s="57" t="s">
        <v>377</v>
      </c>
      <c r="AN91" s="41"/>
      <c r="AO91" s="41"/>
      <c r="AP91" s="41"/>
      <c r="AQ91" s="41"/>
      <c r="AR91" s="41"/>
      <c r="AS91" s="41"/>
      <c r="AT91" s="41"/>
      <c r="AU91" s="41"/>
      <c r="AV91" s="41"/>
      <c r="AW91" s="41"/>
      <c r="AX91" s="41"/>
      <c r="AY91" s="41"/>
      <c r="AZ91" s="41"/>
      <c r="BA91" s="41"/>
      <c r="BB91" s="41"/>
      <c r="BC91" s="41"/>
      <c r="BD91" s="41"/>
      <c r="BE91" s="41"/>
      <c r="BF91" s="41"/>
      <c r="BG91" s="41"/>
      <c r="BH91" s="41"/>
      <c r="BI91" s="41"/>
      <c r="BJ91" s="41"/>
      <c r="BK91" s="41"/>
      <c r="BL91" s="41"/>
      <c r="BM91" s="41"/>
      <c r="BN91" s="41"/>
      <c r="BO91" s="41"/>
      <c r="BP91" s="41"/>
      <c r="BQ91" s="41"/>
      <c r="BR91" s="41"/>
      <c r="BS91" s="41"/>
      <c r="BT91" s="41"/>
      <c r="BU91" s="41"/>
      <c r="BV91" s="41"/>
    </row>
    <row r="92" spans="1:74" ht="14.1" customHeight="1">
      <c r="A92" s="30"/>
      <c r="B92" s="57" t="s">
        <v>73</v>
      </c>
      <c r="C92" s="81" t="s">
        <v>287</v>
      </c>
      <c r="D92" s="81" t="s">
        <v>287</v>
      </c>
      <c r="E92" s="81" t="s">
        <v>287</v>
      </c>
      <c r="F92" s="57" t="s">
        <v>73</v>
      </c>
      <c r="G92" s="57" t="s">
        <v>287</v>
      </c>
      <c r="H92" s="182" t="s">
        <v>287</v>
      </c>
      <c r="I92" s="57" t="s">
        <v>287</v>
      </c>
      <c r="J92" s="57" t="s">
        <v>287</v>
      </c>
      <c r="K92" s="81" t="s">
        <v>287</v>
      </c>
      <c r="L92" s="57" t="s">
        <v>287</v>
      </c>
      <c r="M92" s="57" t="s">
        <v>73</v>
      </c>
      <c r="N92" s="81" t="s">
        <v>287</v>
      </c>
      <c r="O92" s="57" t="s">
        <v>287</v>
      </c>
      <c r="P92" s="57" t="s">
        <v>287</v>
      </c>
      <c r="Q92" s="57" t="s">
        <v>287</v>
      </c>
      <c r="R92" s="127" t="s">
        <v>287</v>
      </c>
      <c r="S92" s="216" t="s">
        <v>73</v>
      </c>
      <c r="T92" s="56">
        <v>165</v>
      </c>
      <c r="U92" s="27">
        <v>166</v>
      </c>
      <c r="V92" s="87" t="s">
        <v>2</v>
      </c>
      <c r="W92" s="37" t="s">
        <v>2</v>
      </c>
      <c r="X92" s="50" t="s">
        <v>2</v>
      </c>
      <c r="Y92" s="50" t="s">
        <v>2</v>
      </c>
      <c r="Z92" s="50" t="s">
        <v>2</v>
      </c>
      <c r="AA92" s="37" t="s">
        <v>2</v>
      </c>
      <c r="AB92" s="37" t="s">
        <v>2</v>
      </c>
      <c r="AC92" s="155" t="s">
        <v>2</v>
      </c>
      <c r="AD92" s="37" t="s">
        <v>2</v>
      </c>
      <c r="AE92" s="37" t="s">
        <v>2</v>
      </c>
      <c r="AF92" s="50" t="s">
        <v>2</v>
      </c>
      <c r="AG92" s="37" t="s">
        <v>2</v>
      </c>
      <c r="AH92" s="37" t="s">
        <v>2</v>
      </c>
      <c r="AI92" s="50" t="s">
        <v>2</v>
      </c>
      <c r="AJ92" s="37" t="s">
        <v>2</v>
      </c>
      <c r="AK92" s="37" t="s">
        <v>2</v>
      </c>
      <c r="AL92" s="37"/>
      <c r="AM92" s="37" t="s">
        <v>2</v>
      </c>
      <c r="AN92" s="41"/>
      <c r="AO92" s="41"/>
      <c r="AP92" s="41"/>
      <c r="AQ92" s="41"/>
      <c r="AR92" s="41"/>
      <c r="AS92" s="41"/>
      <c r="AT92" s="41"/>
      <c r="AU92" s="41"/>
      <c r="AV92" s="41"/>
      <c r="AW92" s="41"/>
      <c r="AX92" s="41"/>
      <c r="AY92" s="41"/>
      <c r="AZ92" s="41"/>
      <c r="BA92" s="41"/>
      <c r="BB92" s="41"/>
      <c r="BC92" s="41"/>
      <c r="BD92" s="41"/>
      <c r="BE92" s="41"/>
      <c r="BF92" s="41"/>
      <c r="BG92" s="41"/>
      <c r="BH92" s="41"/>
      <c r="BI92" s="41"/>
      <c r="BJ92" s="41"/>
      <c r="BK92" s="41"/>
      <c r="BL92" s="41"/>
      <c r="BM92" s="41"/>
      <c r="BN92" s="41"/>
      <c r="BO92" s="41"/>
      <c r="BP92" s="41"/>
      <c r="BQ92" s="41"/>
      <c r="BR92" s="41"/>
      <c r="BS92" s="41"/>
      <c r="BT92" s="41"/>
      <c r="BU92" s="41"/>
      <c r="BV92" s="41"/>
    </row>
    <row r="93" spans="1:74" ht="14.1" customHeight="1">
      <c r="A93" s="30"/>
      <c r="B93" s="37" t="s">
        <v>2</v>
      </c>
      <c r="C93" s="37" t="s">
        <v>2</v>
      </c>
      <c r="D93" s="37" t="s">
        <v>2</v>
      </c>
      <c r="E93" s="37" t="s">
        <v>2</v>
      </c>
      <c r="F93" s="37" t="s">
        <v>2</v>
      </c>
      <c r="G93" s="37" t="s">
        <v>2</v>
      </c>
      <c r="H93" s="187" t="s">
        <v>2</v>
      </c>
      <c r="I93" s="37" t="s">
        <v>2</v>
      </c>
      <c r="J93" s="37" t="s">
        <v>2</v>
      </c>
      <c r="K93" s="37" t="s">
        <v>2</v>
      </c>
      <c r="L93" s="37" t="s">
        <v>2</v>
      </c>
      <c r="M93" s="37" t="s">
        <v>2</v>
      </c>
      <c r="N93" s="50" t="s">
        <v>2</v>
      </c>
      <c r="O93" s="37" t="s">
        <v>2</v>
      </c>
      <c r="P93" s="37" t="s">
        <v>2</v>
      </c>
      <c r="Q93" s="37" t="s">
        <v>2</v>
      </c>
      <c r="R93" s="208" t="s">
        <v>2</v>
      </c>
      <c r="S93" s="217" t="s">
        <v>2</v>
      </c>
      <c r="T93" s="56">
        <v>167</v>
      </c>
      <c r="U93" s="27">
        <v>168</v>
      </c>
      <c r="V93" s="88" t="s">
        <v>12</v>
      </c>
      <c r="W93" s="38" t="s">
        <v>729</v>
      </c>
      <c r="X93" s="51" t="s">
        <v>729</v>
      </c>
      <c r="Y93" s="51" t="s">
        <v>729</v>
      </c>
      <c r="Z93" s="51" t="s">
        <v>729</v>
      </c>
      <c r="AA93" s="38" t="s">
        <v>729</v>
      </c>
      <c r="AB93" s="38" t="s">
        <v>729</v>
      </c>
      <c r="AC93" s="157" t="s">
        <v>729</v>
      </c>
      <c r="AD93" s="38" t="s">
        <v>729</v>
      </c>
      <c r="AE93" s="38" t="s">
        <v>729</v>
      </c>
      <c r="AF93" s="51" t="s">
        <v>729</v>
      </c>
      <c r="AG93" s="38" t="s">
        <v>729</v>
      </c>
      <c r="AH93" s="38" t="s">
        <v>729</v>
      </c>
      <c r="AI93" s="51" t="s">
        <v>729</v>
      </c>
      <c r="AJ93" s="38" t="s">
        <v>729</v>
      </c>
      <c r="AK93" s="38" t="s">
        <v>729</v>
      </c>
      <c r="AL93" s="38"/>
      <c r="AM93" s="38" t="s">
        <v>729</v>
      </c>
      <c r="AN93" s="41"/>
      <c r="AO93" s="41"/>
      <c r="AP93" s="41"/>
      <c r="AQ93" s="41"/>
      <c r="AR93" s="41"/>
      <c r="AS93" s="41"/>
      <c r="AT93" s="41"/>
      <c r="AU93" s="41"/>
      <c r="AV93" s="41"/>
      <c r="AW93" s="41"/>
      <c r="AX93" s="41"/>
      <c r="AY93" s="41"/>
      <c r="AZ93" s="41"/>
      <c r="BA93" s="41"/>
      <c r="BB93" s="41"/>
      <c r="BC93" s="41"/>
      <c r="BD93" s="41"/>
      <c r="BE93" s="41"/>
      <c r="BF93" s="41"/>
      <c r="BG93" s="41"/>
      <c r="BH93" s="41"/>
      <c r="BI93" s="41"/>
      <c r="BJ93" s="41"/>
      <c r="BK93" s="41"/>
      <c r="BL93" s="41"/>
      <c r="BM93" s="41"/>
      <c r="BN93" s="41"/>
      <c r="BO93" s="41"/>
      <c r="BP93" s="41"/>
      <c r="BQ93" s="41"/>
      <c r="BR93" s="41"/>
      <c r="BS93" s="41"/>
      <c r="BT93" s="41"/>
      <c r="BU93" s="41"/>
      <c r="BV93" s="41"/>
    </row>
    <row r="94" spans="1:74">
      <c r="A94" s="39"/>
      <c r="B94" s="90"/>
      <c r="C94" s="90"/>
      <c r="D94" s="90"/>
      <c r="E94" s="90"/>
      <c r="F94" s="90"/>
      <c r="G94" s="90"/>
      <c r="H94" s="90"/>
      <c r="I94" s="90"/>
      <c r="J94" s="90"/>
      <c r="K94" s="90"/>
      <c r="L94" s="90"/>
      <c r="M94" s="90"/>
      <c r="N94" s="90"/>
      <c r="O94" s="90"/>
      <c r="P94" s="90"/>
      <c r="Q94" s="90"/>
      <c r="R94" s="98"/>
      <c r="S94" s="209"/>
      <c r="T94" s="27"/>
      <c r="U94" s="27"/>
      <c r="V94" s="102"/>
      <c r="W94" s="90"/>
      <c r="X94" s="90"/>
      <c r="Y94" s="90"/>
      <c r="Z94" s="90"/>
      <c r="AA94" s="90"/>
      <c r="AB94" s="90"/>
      <c r="AC94" s="90"/>
      <c r="AD94" s="90"/>
      <c r="AE94" s="90"/>
      <c r="AF94" s="90"/>
      <c r="AG94" s="90"/>
      <c r="AH94" s="90"/>
      <c r="AI94" s="90"/>
      <c r="AJ94" s="90"/>
      <c r="AK94" s="90"/>
      <c r="AL94" s="90"/>
      <c r="AM94" s="90"/>
      <c r="AN94" s="41"/>
      <c r="AO94" s="41"/>
      <c r="AP94" s="41"/>
      <c r="AQ94" s="41"/>
      <c r="AR94" s="41"/>
      <c r="AS94" s="41"/>
      <c r="AT94" s="41"/>
      <c r="AU94" s="41"/>
      <c r="AV94" s="41"/>
      <c r="AW94" s="41"/>
      <c r="AX94" s="41"/>
      <c r="AY94" s="41"/>
      <c r="AZ94" s="41"/>
      <c r="BA94" s="41"/>
      <c r="BB94" s="41"/>
      <c r="BC94" s="41"/>
      <c r="BD94" s="41"/>
      <c r="BE94" s="41"/>
      <c r="BF94" s="41"/>
      <c r="BG94" s="41"/>
      <c r="BH94" s="41"/>
      <c r="BI94" s="41"/>
      <c r="BJ94" s="41"/>
      <c r="BK94" s="41"/>
      <c r="BL94" s="41"/>
      <c r="BM94" s="41"/>
      <c r="BN94" s="41"/>
      <c r="BO94" s="41"/>
      <c r="BP94" s="41"/>
      <c r="BQ94" s="41"/>
      <c r="BR94" s="41"/>
      <c r="BS94" s="41"/>
      <c r="BT94" s="41"/>
      <c r="BU94" s="41"/>
      <c r="BV94" s="41"/>
    </row>
    <row r="95" spans="1:74">
      <c r="A95" s="41"/>
      <c r="B95" s="57"/>
      <c r="C95" s="57"/>
      <c r="D95" s="57"/>
      <c r="E95" s="57"/>
      <c r="F95" s="57"/>
      <c r="G95" s="57"/>
      <c r="H95" s="57"/>
      <c r="I95" s="57"/>
      <c r="J95" s="57"/>
      <c r="K95" s="57"/>
      <c r="L95" s="57"/>
      <c r="M95" s="57"/>
      <c r="N95" s="57"/>
      <c r="O95" s="57"/>
      <c r="P95" s="57"/>
      <c r="Q95" s="57"/>
      <c r="R95" s="127"/>
      <c r="S95" s="210"/>
      <c r="T95" s="52"/>
      <c r="U95" s="52"/>
      <c r="V95" s="103"/>
      <c r="W95" s="57"/>
      <c r="X95" s="57"/>
      <c r="Y95" s="57"/>
      <c r="Z95" s="57"/>
      <c r="AA95" s="57"/>
      <c r="AB95" s="57"/>
      <c r="AC95" s="57"/>
      <c r="AD95" s="57"/>
      <c r="AE95" s="57"/>
      <c r="AF95" s="57"/>
      <c r="AG95" s="57"/>
      <c r="AH95" s="57"/>
      <c r="AI95" s="57"/>
      <c r="AJ95" s="57"/>
      <c r="AK95" s="57"/>
      <c r="AL95" s="57"/>
      <c r="AM95" s="57"/>
      <c r="AN95" s="41"/>
      <c r="AO95" s="41"/>
      <c r="AP95" s="41"/>
      <c r="AQ95" s="41"/>
      <c r="AR95" s="41"/>
      <c r="AS95" s="41"/>
      <c r="AT95" s="41"/>
      <c r="AU95" s="41"/>
      <c r="AV95" s="41"/>
      <c r="AW95" s="41"/>
      <c r="AX95" s="41"/>
      <c r="AY95" s="41"/>
      <c r="AZ95" s="41"/>
      <c r="BA95" s="41"/>
      <c r="BB95" s="41"/>
      <c r="BC95" s="41"/>
      <c r="BD95" s="41"/>
      <c r="BE95" s="41"/>
      <c r="BF95" s="41"/>
      <c r="BG95" s="41"/>
      <c r="BH95" s="41"/>
      <c r="BI95" s="41"/>
      <c r="BJ95" s="41"/>
      <c r="BK95" s="41"/>
      <c r="BL95" s="41"/>
      <c r="BM95" s="41"/>
      <c r="BN95" s="41"/>
      <c r="BO95" s="41"/>
      <c r="BP95" s="41"/>
      <c r="BQ95" s="41"/>
      <c r="BR95" s="41"/>
      <c r="BS95" s="41"/>
      <c r="BT95" s="41"/>
      <c r="BU95" s="41"/>
      <c r="BV95" s="41"/>
    </row>
    <row r="96" spans="1:74">
      <c r="A96" s="41"/>
      <c r="B96" s="57"/>
      <c r="C96" s="57"/>
      <c r="D96" s="57"/>
      <c r="E96" s="57"/>
      <c r="F96" s="57"/>
      <c r="G96" s="57"/>
      <c r="H96" s="57"/>
      <c r="I96" s="57"/>
      <c r="J96" s="57"/>
      <c r="K96" s="57"/>
      <c r="L96" s="57"/>
      <c r="M96" s="57"/>
      <c r="N96" s="57"/>
      <c r="O96" s="57"/>
      <c r="P96" s="57"/>
      <c r="Q96" s="57"/>
      <c r="R96" s="127"/>
      <c r="S96" s="210"/>
      <c r="T96" s="52"/>
      <c r="U96" s="52"/>
      <c r="V96" s="103"/>
      <c r="W96" s="57"/>
      <c r="X96" s="57"/>
      <c r="Y96" s="57"/>
      <c r="Z96" s="57"/>
      <c r="AA96" s="57"/>
      <c r="AB96" s="57"/>
      <c r="AC96" s="57"/>
      <c r="AD96" s="57"/>
      <c r="AE96" s="57"/>
      <c r="AF96" s="57"/>
      <c r="AG96" s="57"/>
      <c r="AH96" s="57"/>
      <c r="AI96" s="57"/>
      <c r="AJ96" s="57"/>
      <c r="AK96" s="57"/>
      <c r="AL96" s="57"/>
      <c r="AM96" s="57"/>
      <c r="AN96" s="41"/>
      <c r="AO96" s="41"/>
      <c r="AP96" s="41"/>
      <c r="AQ96" s="41"/>
      <c r="AR96" s="41"/>
      <c r="AS96" s="41"/>
      <c r="AT96" s="41"/>
      <c r="AU96" s="41"/>
      <c r="AV96" s="41"/>
      <c r="AW96" s="41"/>
      <c r="AX96" s="41"/>
      <c r="AY96" s="41"/>
      <c r="AZ96" s="41"/>
      <c r="BA96" s="41"/>
      <c r="BB96" s="41"/>
      <c r="BC96" s="41"/>
      <c r="BD96" s="41"/>
      <c r="BE96" s="41"/>
      <c r="BF96" s="41"/>
      <c r="BG96" s="41"/>
      <c r="BH96" s="41"/>
      <c r="BI96" s="41"/>
      <c r="BJ96" s="41"/>
      <c r="BK96" s="41"/>
      <c r="BL96" s="41"/>
      <c r="BM96" s="41"/>
      <c r="BN96" s="41"/>
      <c r="BO96" s="41"/>
      <c r="BP96" s="41"/>
      <c r="BQ96" s="41"/>
      <c r="BR96" s="41"/>
      <c r="BS96" s="41"/>
      <c r="BT96" s="41"/>
      <c r="BU96" s="41"/>
      <c r="BV96" s="41"/>
    </row>
    <row r="97" spans="1:74">
      <c r="A97" s="41"/>
      <c r="B97" s="57"/>
      <c r="C97" s="57"/>
      <c r="D97" s="57"/>
      <c r="E97" s="57"/>
      <c r="F97" s="57"/>
      <c r="G97" s="57"/>
      <c r="H97" s="57"/>
      <c r="I97" s="57"/>
      <c r="J97" s="57"/>
      <c r="K97" s="57"/>
      <c r="L97" s="57"/>
      <c r="M97" s="57"/>
      <c r="N97" s="57"/>
      <c r="O97" s="57"/>
      <c r="P97" s="57"/>
      <c r="Q97" s="57"/>
      <c r="R97" s="127"/>
      <c r="S97" s="210"/>
      <c r="T97" s="52"/>
      <c r="U97" s="52"/>
      <c r="V97" s="103"/>
      <c r="W97" s="57"/>
      <c r="X97" s="57"/>
      <c r="Y97" s="57"/>
      <c r="Z97" s="57"/>
      <c r="AA97" s="57"/>
      <c r="AB97" s="57"/>
      <c r="AC97" s="57"/>
      <c r="AD97" s="57"/>
      <c r="AE97" s="57"/>
      <c r="AF97" s="57"/>
      <c r="AG97" s="57"/>
      <c r="AH97" s="57"/>
      <c r="AI97" s="57"/>
      <c r="AJ97" s="57"/>
      <c r="AK97" s="57"/>
      <c r="AL97" s="57"/>
      <c r="AM97" s="57"/>
      <c r="AN97" s="41"/>
      <c r="AO97" s="41"/>
      <c r="AP97" s="41"/>
      <c r="AQ97" s="41"/>
      <c r="AR97" s="41"/>
      <c r="AS97" s="41"/>
      <c r="AT97" s="41"/>
      <c r="AU97" s="41"/>
      <c r="AV97" s="41"/>
      <c r="AW97" s="41"/>
      <c r="AX97" s="41"/>
      <c r="AY97" s="41"/>
      <c r="AZ97" s="41"/>
      <c r="BA97" s="41"/>
      <c r="BB97" s="41"/>
      <c r="BC97" s="41"/>
      <c r="BD97" s="41"/>
      <c r="BE97" s="41"/>
      <c r="BF97" s="41"/>
      <c r="BG97" s="41"/>
      <c r="BH97" s="41"/>
      <c r="BI97" s="41"/>
      <c r="BJ97" s="41"/>
      <c r="BK97" s="41"/>
      <c r="BL97" s="41"/>
      <c r="BM97" s="41"/>
      <c r="BN97" s="41"/>
      <c r="BO97" s="41"/>
      <c r="BP97" s="41"/>
      <c r="BQ97" s="41"/>
      <c r="BR97" s="41"/>
      <c r="BS97" s="41"/>
      <c r="BT97" s="41"/>
      <c r="BU97" s="41"/>
      <c r="BV97" s="41"/>
    </row>
    <row r="98" spans="1:74">
      <c r="A98" s="41"/>
      <c r="B98" s="57"/>
      <c r="C98" s="57"/>
      <c r="D98" s="57"/>
      <c r="E98" s="57"/>
      <c r="F98" s="57"/>
      <c r="G98" s="57"/>
      <c r="H98" s="57"/>
      <c r="I98" s="57"/>
      <c r="J98" s="57"/>
      <c r="K98" s="57"/>
      <c r="L98" s="57"/>
      <c r="M98" s="57"/>
      <c r="N98" s="57"/>
      <c r="O98" s="57"/>
      <c r="P98" s="57"/>
      <c r="Q98" s="57"/>
      <c r="R98" s="127"/>
      <c r="S98" s="210"/>
      <c r="T98" s="52"/>
      <c r="U98" s="52"/>
      <c r="V98" s="103"/>
      <c r="W98" s="57"/>
      <c r="X98" s="57"/>
      <c r="Y98" s="57"/>
      <c r="Z98" s="57"/>
      <c r="AA98" s="57"/>
      <c r="AB98" s="57"/>
      <c r="AC98" s="57"/>
      <c r="AD98" s="57"/>
      <c r="AE98" s="57"/>
      <c r="AF98" s="57"/>
      <c r="AG98" s="57"/>
      <c r="AH98" s="57"/>
      <c r="AI98" s="57"/>
      <c r="AJ98" s="57"/>
      <c r="AK98" s="57"/>
      <c r="AL98" s="57"/>
      <c r="AM98" s="57"/>
      <c r="AN98" s="41"/>
      <c r="AO98" s="41"/>
      <c r="AP98" s="41"/>
      <c r="AQ98" s="41"/>
      <c r="AR98" s="41"/>
      <c r="AS98" s="41"/>
      <c r="AT98" s="41"/>
      <c r="AU98" s="41"/>
      <c r="AV98" s="41"/>
      <c r="AW98" s="41"/>
      <c r="AX98" s="41"/>
      <c r="AY98" s="41"/>
      <c r="AZ98" s="41"/>
      <c r="BA98" s="41"/>
      <c r="BB98" s="41"/>
      <c r="BC98" s="41"/>
      <c r="BD98" s="41"/>
      <c r="BE98" s="41"/>
      <c r="BF98" s="41"/>
      <c r="BG98" s="41"/>
      <c r="BH98" s="41"/>
      <c r="BI98" s="41"/>
      <c r="BJ98" s="41"/>
      <c r="BK98" s="41"/>
      <c r="BL98" s="41"/>
      <c r="BM98" s="41"/>
      <c r="BN98" s="41"/>
      <c r="BO98" s="41"/>
      <c r="BP98" s="41"/>
      <c r="BQ98" s="41"/>
      <c r="BR98" s="41"/>
      <c r="BS98" s="41"/>
      <c r="BT98" s="41"/>
      <c r="BU98" s="41"/>
      <c r="BV98" s="41"/>
    </row>
    <row r="99" spans="1:74">
      <c r="A99" s="41"/>
      <c r="B99" s="57"/>
      <c r="C99" s="57"/>
      <c r="D99" s="57"/>
      <c r="E99" s="57"/>
      <c r="F99" s="57"/>
      <c r="G99" s="57"/>
      <c r="H99" s="57"/>
      <c r="I99" s="57"/>
      <c r="J99" s="57"/>
      <c r="K99" s="57"/>
      <c r="L99" s="57"/>
      <c r="M99" s="57"/>
      <c r="N99" s="57"/>
      <c r="O99" s="57"/>
      <c r="P99" s="57"/>
      <c r="Q99" s="57"/>
      <c r="R99" s="127"/>
      <c r="S99" s="210"/>
      <c r="T99" s="52"/>
      <c r="U99" s="52"/>
      <c r="V99" s="103"/>
      <c r="W99" s="57"/>
      <c r="X99" s="57"/>
      <c r="Y99" s="57"/>
      <c r="Z99" s="57"/>
      <c r="AA99" s="57"/>
      <c r="AB99" s="57"/>
      <c r="AC99" s="57"/>
      <c r="AD99" s="57"/>
      <c r="AE99" s="57"/>
      <c r="AF99" s="57"/>
      <c r="AG99" s="57"/>
      <c r="AH99" s="57"/>
      <c r="AI99" s="57"/>
      <c r="AJ99" s="57"/>
      <c r="AK99" s="57"/>
      <c r="AL99" s="57"/>
      <c r="AM99" s="57"/>
      <c r="AN99" s="41"/>
      <c r="AO99" s="41"/>
      <c r="AP99" s="41"/>
      <c r="AQ99" s="41"/>
      <c r="AR99" s="41"/>
      <c r="AS99" s="41"/>
      <c r="AT99" s="41"/>
      <c r="AU99" s="41"/>
      <c r="AV99" s="41"/>
      <c r="AW99" s="41"/>
      <c r="AX99" s="41"/>
      <c r="AY99" s="41"/>
      <c r="AZ99" s="41"/>
      <c r="BA99" s="41"/>
      <c r="BB99" s="41"/>
      <c r="BC99" s="41"/>
      <c r="BD99" s="41"/>
      <c r="BE99" s="41"/>
      <c r="BF99" s="41"/>
      <c r="BG99" s="41"/>
      <c r="BH99" s="41"/>
      <c r="BI99" s="41"/>
      <c r="BJ99" s="41"/>
      <c r="BK99" s="41"/>
      <c r="BL99" s="41"/>
      <c r="BM99" s="41"/>
      <c r="BN99" s="41"/>
      <c r="BO99" s="41"/>
      <c r="BP99" s="41"/>
      <c r="BQ99" s="41"/>
      <c r="BR99" s="41"/>
      <c r="BS99" s="41"/>
      <c r="BT99" s="41"/>
      <c r="BU99" s="41"/>
      <c r="BV99" s="41"/>
    </row>
    <row r="100" spans="1:74">
      <c r="A100" s="41"/>
      <c r="B100" s="57"/>
      <c r="C100" s="57"/>
      <c r="D100" s="57"/>
      <c r="E100" s="57"/>
      <c r="F100" s="57"/>
      <c r="G100" s="57"/>
      <c r="H100" s="57"/>
      <c r="I100" s="57"/>
      <c r="J100" s="57"/>
      <c r="K100" s="57"/>
      <c r="L100" s="57"/>
      <c r="M100" s="57"/>
      <c r="N100" s="57"/>
      <c r="O100" s="57"/>
      <c r="P100" s="57"/>
      <c r="Q100" s="57"/>
      <c r="R100" s="127"/>
      <c r="S100" s="210"/>
      <c r="T100" s="52"/>
      <c r="U100" s="52"/>
      <c r="V100" s="103"/>
      <c r="W100" s="57"/>
      <c r="X100" s="57"/>
      <c r="Y100" s="57"/>
      <c r="Z100" s="57"/>
      <c r="AA100" s="57"/>
      <c r="AB100" s="57"/>
      <c r="AC100" s="57"/>
      <c r="AD100" s="57"/>
      <c r="AE100" s="57"/>
      <c r="AF100" s="57"/>
      <c r="AG100" s="57"/>
      <c r="AH100" s="57"/>
      <c r="AI100" s="57"/>
      <c r="AJ100" s="57"/>
      <c r="AK100" s="57"/>
      <c r="AL100" s="57"/>
      <c r="AM100" s="57"/>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c r="BJ100" s="41"/>
      <c r="BK100" s="41"/>
      <c r="BL100" s="41"/>
      <c r="BM100" s="41"/>
      <c r="BN100" s="41"/>
      <c r="BO100" s="41"/>
      <c r="BP100" s="41"/>
      <c r="BQ100" s="41"/>
      <c r="BR100" s="41"/>
      <c r="BS100" s="41"/>
      <c r="BT100" s="41"/>
      <c r="BU100" s="41"/>
      <c r="BV100" s="41"/>
    </row>
    <row r="101" spans="1:74">
      <c r="A101" s="41"/>
      <c r="B101" s="57"/>
      <c r="C101" s="57"/>
      <c r="D101" s="57"/>
      <c r="E101" s="57"/>
      <c r="F101" s="57"/>
      <c r="G101" s="57"/>
      <c r="H101" s="57"/>
      <c r="I101" s="57"/>
      <c r="J101" s="57"/>
      <c r="K101" s="57"/>
      <c r="L101" s="57"/>
      <c r="M101" s="57"/>
      <c r="N101" s="57"/>
      <c r="O101" s="57"/>
      <c r="P101" s="57"/>
      <c r="Q101" s="57"/>
      <c r="R101" s="127"/>
      <c r="S101" s="210"/>
      <c r="T101" s="52"/>
      <c r="U101" s="52"/>
      <c r="V101" s="103"/>
      <c r="W101" s="57"/>
      <c r="X101" s="57"/>
      <c r="Y101" s="57"/>
      <c r="Z101" s="57"/>
      <c r="AA101" s="57"/>
      <c r="AB101" s="57"/>
      <c r="AC101" s="57"/>
      <c r="AD101" s="57"/>
      <c r="AE101" s="57"/>
      <c r="AF101" s="57"/>
      <c r="AG101" s="57"/>
      <c r="AH101" s="57"/>
      <c r="AI101" s="57"/>
      <c r="AJ101" s="57"/>
      <c r="AK101" s="57"/>
      <c r="AL101" s="57"/>
      <c r="AM101" s="57"/>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c r="BJ101" s="41"/>
      <c r="BK101" s="41"/>
      <c r="BL101" s="41"/>
      <c r="BM101" s="41"/>
      <c r="BN101" s="41"/>
      <c r="BO101" s="41"/>
      <c r="BP101" s="41"/>
      <c r="BQ101" s="41"/>
      <c r="BR101" s="41"/>
      <c r="BS101" s="41"/>
      <c r="BT101" s="41"/>
      <c r="BU101" s="41"/>
      <c r="BV101" s="41"/>
    </row>
    <row r="102" spans="1:74">
      <c r="A102" s="41"/>
      <c r="B102" s="57"/>
      <c r="C102" s="57"/>
      <c r="D102" s="57"/>
      <c r="E102" s="57"/>
      <c r="F102" s="57"/>
      <c r="G102" s="57"/>
      <c r="H102" s="57"/>
      <c r="I102" s="57"/>
      <c r="J102" s="57"/>
      <c r="K102" s="57"/>
      <c r="L102" s="57"/>
      <c r="M102" s="57"/>
      <c r="N102" s="57"/>
      <c r="O102" s="57"/>
      <c r="P102" s="57"/>
      <c r="Q102" s="57"/>
      <c r="R102" s="127"/>
      <c r="S102" s="210"/>
      <c r="T102" s="52"/>
      <c r="U102" s="52"/>
      <c r="V102" s="103"/>
      <c r="W102" s="57"/>
      <c r="X102" s="57"/>
      <c r="Y102" s="57"/>
      <c r="Z102" s="57"/>
      <c r="AA102" s="57"/>
      <c r="AB102" s="57"/>
      <c r="AC102" s="57"/>
      <c r="AD102" s="57"/>
      <c r="AE102" s="57"/>
      <c r="AF102" s="57"/>
      <c r="AG102" s="57"/>
      <c r="AH102" s="57"/>
      <c r="AI102" s="57"/>
      <c r="AJ102" s="57"/>
      <c r="AK102" s="57"/>
      <c r="AL102" s="57"/>
      <c r="AM102" s="57"/>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c r="BJ102" s="41"/>
      <c r="BK102" s="41"/>
      <c r="BL102" s="41"/>
      <c r="BM102" s="41"/>
      <c r="BN102" s="41"/>
      <c r="BO102" s="41"/>
      <c r="BP102" s="41"/>
      <c r="BQ102" s="41"/>
      <c r="BR102" s="41"/>
      <c r="BS102" s="41"/>
      <c r="BT102" s="41"/>
      <c r="BU102" s="41"/>
      <c r="BV102" s="41"/>
    </row>
    <row r="103" spans="1:74">
      <c r="A103" s="41"/>
      <c r="B103" s="57"/>
      <c r="C103" s="57"/>
      <c r="D103" s="57"/>
      <c r="E103" s="57"/>
      <c r="F103" s="57"/>
      <c r="G103" s="57"/>
      <c r="H103" s="57"/>
      <c r="I103" s="57"/>
      <c r="J103" s="57"/>
      <c r="K103" s="57"/>
      <c r="L103" s="57"/>
      <c r="M103" s="57"/>
      <c r="N103" s="57"/>
      <c r="O103" s="57"/>
      <c r="P103" s="57"/>
      <c r="Q103" s="57"/>
      <c r="R103" s="127"/>
      <c r="S103" s="210"/>
      <c r="T103" s="52"/>
      <c r="U103" s="52"/>
      <c r="V103" s="103"/>
      <c r="W103" s="57"/>
      <c r="X103" s="57"/>
      <c r="Y103" s="57"/>
      <c r="Z103" s="57"/>
      <c r="AA103" s="57"/>
      <c r="AB103" s="57"/>
      <c r="AC103" s="57"/>
      <c r="AD103" s="57"/>
      <c r="AE103" s="57"/>
      <c r="AF103" s="57"/>
      <c r="AG103" s="57"/>
      <c r="AH103" s="57"/>
      <c r="AI103" s="57"/>
      <c r="AJ103" s="57"/>
      <c r="AK103" s="57"/>
      <c r="AL103" s="57"/>
      <c r="AM103" s="57"/>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c r="BJ103" s="41"/>
      <c r="BK103" s="41"/>
      <c r="BL103" s="41"/>
      <c r="BM103" s="41"/>
      <c r="BN103" s="41"/>
      <c r="BO103" s="41"/>
      <c r="BP103" s="41"/>
      <c r="BQ103" s="41"/>
      <c r="BR103" s="41"/>
      <c r="BS103" s="41"/>
      <c r="BT103" s="41"/>
      <c r="BU103" s="41"/>
      <c r="BV103" s="41"/>
    </row>
    <row r="104" spans="1:74">
      <c r="A104" s="41"/>
      <c r="B104" s="57"/>
      <c r="C104" s="57"/>
      <c r="D104" s="57"/>
      <c r="E104" s="57"/>
      <c r="F104" s="57"/>
      <c r="G104" s="57"/>
      <c r="H104" s="57"/>
      <c r="I104" s="57"/>
      <c r="J104" s="57"/>
      <c r="K104" s="57"/>
      <c r="L104" s="57"/>
      <c r="M104" s="57"/>
      <c r="N104" s="57"/>
      <c r="O104" s="57"/>
      <c r="P104" s="57"/>
      <c r="Q104" s="57"/>
      <c r="R104" s="127"/>
      <c r="S104" s="210"/>
      <c r="T104" s="52"/>
      <c r="U104" s="52"/>
      <c r="V104" s="103"/>
      <c r="W104" s="57"/>
      <c r="X104" s="57"/>
      <c r="Y104" s="57"/>
      <c r="Z104" s="57"/>
      <c r="AA104" s="57"/>
      <c r="AB104" s="57"/>
      <c r="AC104" s="57"/>
      <c r="AD104" s="57"/>
      <c r="AE104" s="57"/>
      <c r="AF104" s="57"/>
      <c r="AG104" s="57"/>
      <c r="AH104" s="57"/>
      <c r="AI104" s="57"/>
      <c r="AJ104" s="57"/>
      <c r="AK104" s="57"/>
      <c r="AL104" s="57"/>
      <c r="AM104" s="57"/>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c r="BJ104" s="41"/>
      <c r="BK104" s="41"/>
      <c r="BL104" s="41"/>
      <c r="BM104" s="41"/>
      <c r="BN104" s="41"/>
      <c r="BO104" s="41"/>
      <c r="BP104" s="41"/>
      <c r="BQ104" s="41"/>
      <c r="BR104" s="41"/>
      <c r="BS104" s="41"/>
      <c r="BT104" s="41"/>
      <c r="BU104" s="41"/>
      <c r="BV104" s="41"/>
    </row>
    <row r="105" spans="1:74">
      <c r="A105" s="41"/>
      <c r="B105" s="57"/>
      <c r="C105" s="57"/>
      <c r="D105" s="57"/>
      <c r="E105" s="57"/>
      <c r="F105" s="57"/>
      <c r="G105" s="57"/>
      <c r="H105" s="57"/>
      <c r="I105" s="57"/>
      <c r="J105" s="57"/>
      <c r="K105" s="57"/>
      <c r="L105" s="57"/>
      <c r="M105" s="57"/>
      <c r="N105" s="57"/>
      <c r="O105" s="57"/>
      <c r="P105" s="57"/>
      <c r="Q105" s="57"/>
      <c r="R105" s="127"/>
      <c r="S105" s="210"/>
      <c r="T105" s="52"/>
      <c r="U105" s="52"/>
      <c r="V105" s="103"/>
      <c r="W105" s="57"/>
      <c r="X105" s="57"/>
      <c r="Y105" s="57"/>
      <c r="Z105" s="57"/>
      <c r="AA105" s="57"/>
      <c r="AB105" s="57"/>
      <c r="AC105" s="57"/>
      <c r="AD105" s="57"/>
      <c r="AE105" s="57"/>
      <c r="AF105" s="57"/>
      <c r="AG105" s="57"/>
      <c r="AH105" s="57"/>
      <c r="AI105" s="57"/>
      <c r="AJ105" s="57"/>
      <c r="AK105" s="57"/>
      <c r="AL105" s="57"/>
      <c r="AM105" s="57"/>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c r="BJ105" s="41"/>
      <c r="BK105" s="41"/>
      <c r="BL105" s="41"/>
      <c r="BM105" s="41"/>
      <c r="BN105" s="41"/>
      <c r="BO105" s="41"/>
      <c r="BP105" s="41"/>
      <c r="BQ105" s="41"/>
      <c r="BR105" s="41"/>
      <c r="BS105" s="41"/>
      <c r="BT105" s="41"/>
      <c r="BU105" s="41"/>
      <c r="BV105" s="41"/>
    </row>
    <row r="106" spans="1:74">
      <c r="A106" s="41"/>
      <c r="B106" s="57"/>
      <c r="C106" s="57"/>
      <c r="D106" s="57"/>
      <c r="E106" s="57"/>
      <c r="F106" s="57"/>
      <c r="G106" s="57"/>
      <c r="H106" s="57"/>
      <c r="I106" s="57"/>
      <c r="J106" s="57"/>
      <c r="K106" s="57"/>
      <c r="L106" s="57"/>
      <c r="M106" s="57"/>
      <c r="N106" s="57"/>
      <c r="O106" s="57"/>
      <c r="P106" s="57"/>
      <c r="Q106" s="57"/>
      <c r="R106" s="127"/>
      <c r="S106" s="210"/>
      <c r="T106" s="52"/>
      <c r="U106" s="52"/>
      <c r="V106" s="103"/>
      <c r="W106" s="57"/>
      <c r="X106" s="57"/>
      <c r="Y106" s="57"/>
      <c r="Z106" s="57"/>
      <c r="AA106" s="57"/>
      <c r="AB106" s="57"/>
      <c r="AC106" s="57"/>
      <c r="AD106" s="57"/>
      <c r="AE106" s="57"/>
      <c r="AF106" s="57"/>
      <c r="AG106" s="57"/>
      <c r="AH106" s="57"/>
      <c r="AI106" s="57"/>
      <c r="AJ106" s="57"/>
      <c r="AK106" s="57"/>
      <c r="AL106" s="57"/>
      <c r="AM106" s="57"/>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c r="BJ106" s="41"/>
      <c r="BK106" s="41"/>
      <c r="BL106" s="41"/>
      <c r="BM106" s="41"/>
      <c r="BN106" s="41"/>
      <c r="BO106" s="41"/>
      <c r="BP106" s="41"/>
      <c r="BQ106" s="41"/>
      <c r="BR106" s="41"/>
      <c r="BS106" s="41"/>
      <c r="BT106" s="41"/>
      <c r="BU106" s="41"/>
      <c r="BV106" s="41"/>
    </row>
    <row r="107" spans="1:74">
      <c r="A107" s="41"/>
      <c r="B107" s="57"/>
      <c r="C107" s="57"/>
      <c r="D107" s="57"/>
      <c r="E107" s="57"/>
      <c r="F107" s="57"/>
      <c r="G107" s="57"/>
      <c r="H107" s="57"/>
      <c r="I107" s="57"/>
      <c r="J107" s="57"/>
      <c r="K107" s="57"/>
      <c r="L107" s="57"/>
      <c r="M107" s="57"/>
      <c r="N107" s="57"/>
      <c r="O107" s="57"/>
      <c r="P107" s="57"/>
      <c r="Q107" s="57"/>
      <c r="R107" s="127"/>
      <c r="S107" s="210"/>
      <c r="T107" s="52"/>
      <c r="U107" s="52"/>
      <c r="V107" s="103"/>
      <c r="W107" s="57"/>
      <c r="X107" s="57"/>
      <c r="Y107" s="57"/>
      <c r="Z107" s="57"/>
      <c r="AA107" s="57"/>
      <c r="AB107" s="57"/>
      <c r="AC107" s="57"/>
      <c r="AD107" s="57"/>
      <c r="AE107" s="57"/>
      <c r="AF107" s="57"/>
      <c r="AG107" s="57"/>
      <c r="AH107" s="57"/>
      <c r="AI107" s="57"/>
      <c r="AJ107" s="57"/>
      <c r="AK107" s="57"/>
      <c r="AL107" s="57"/>
      <c r="AM107" s="57"/>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c r="BJ107" s="41"/>
      <c r="BK107" s="41"/>
      <c r="BL107" s="41"/>
      <c r="BM107" s="41"/>
      <c r="BN107" s="41"/>
      <c r="BO107" s="41"/>
      <c r="BP107" s="41"/>
      <c r="BQ107" s="41"/>
      <c r="BR107" s="41"/>
      <c r="BS107" s="41"/>
      <c r="BT107" s="41"/>
      <c r="BU107" s="41"/>
      <c r="BV107" s="41"/>
    </row>
    <row r="108" spans="1:74">
      <c r="A108" s="41"/>
      <c r="B108" s="57"/>
      <c r="C108" s="57"/>
      <c r="D108" s="57"/>
      <c r="E108" s="57"/>
      <c r="F108" s="57"/>
      <c r="G108" s="57"/>
      <c r="H108" s="57"/>
      <c r="I108" s="57"/>
      <c r="J108" s="57"/>
      <c r="K108" s="57"/>
      <c r="L108" s="57"/>
      <c r="M108" s="57"/>
      <c r="N108" s="57"/>
      <c r="O108" s="57"/>
      <c r="P108" s="57"/>
      <c r="Q108" s="57"/>
      <c r="R108" s="127"/>
      <c r="S108" s="210"/>
      <c r="T108" s="52"/>
      <c r="U108" s="52"/>
      <c r="V108" s="103"/>
      <c r="W108" s="57"/>
      <c r="X108" s="57"/>
      <c r="Y108" s="57"/>
      <c r="Z108" s="57"/>
      <c r="AA108" s="57"/>
      <c r="AB108" s="57"/>
      <c r="AC108" s="57"/>
      <c r="AD108" s="57"/>
      <c r="AE108" s="57"/>
      <c r="AF108" s="57"/>
      <c r="AG108" s="57"/>
      <c r="AH108" s="57"/>
      <c r="AI108" s="57"/>
      <c r="AJ108" s="57"/>
      <c r="AK108" s="57"/>
      <c r="AL108" s="57"/>
      <c r="AM108" s="57"/>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c r="BJ108" s="41"/>
      <c r="BK108" s="41"/>
      <c r="BL108" s="41"/>
      <c r="BM108" s="41"/>
      <c r="BN108" s="41"/>
      <c r="BO108" s="41"/>
      <c r="BP108" s="41"/>
      <c r="BQ108" s="41"/>
      <c r="BR108" s="41"/>
      <c r="BS108" s="41"/>
      <c r="BT108" s="41"/>
      <c r="BU108" s="41"/>
      <c r="BV108" s="41"/>
    </row>
    <row r="109" spans="1:74">
      <c r="A109" s="41"/>
      <c r="B109" s="57"/>
      <c r="C109" s="57"/>
      <c r="D109" s="57"/>
      <c r="E109" s="57"/>
      <c r="F109" s="57"/>
      <c r="G109" s="57"/>
      <c r="H109" s="57"/>
      <c r="I109" s="57"/>
      <c r="J109" s="57"/>
      <c r="K109" s="57"/>
      <c r="L109" s="57"/>
      <c r="M109" s="57"/>
      <c r="N109" s="57"/>
      <c r="O109" s="57"/>
      <c r="P109" s="57"/>
      <c r="Q109" s="57"/>
      <c r="R109" s="127"/>
      <c r="S109" s="210"/>
      <c r="T109" s="52"/>
      <c r="U109" s="52"/>
      <c r="V109" s="103"/>
      <c r="W109" s="57"/>
      <c r="X109" s="57"/>
      <c r="Y109" s="57"/>
      <c r="Z109" s="57"/>
      <c r="AA109" s="57"/>
      <c r="AB109" s="57"/>
      <c r="AC109" s="57"/>
      <c r="AD109" s="57"/>
      <c r="AE109" s="57"/>
      <c r="AF109" s="57"/>
      <c r="AG109" s="57"/>
      <c r="AH109" s="57"/>
      <c r="AI109" s="57"/>
      <c r="AJ109" s="57"/>
      <c r="AK109" s="57"/>
      <c r="AL109" s="57"/>
      <c r="AM109" s="57"/>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c r="BJ109" s="41"/>
      <c r="BK109" s="41"/>
      <c r="BL109" s="41"/>
      <c r="BM109" s="41"/>
      <c r="BN109" s="41"/>
      <c r="BO109" s="41"/>
      <c r="BP109" s="41"/>
      <c r="BQ109" s="41"/>
      <c r="BR109" s="41"/>
      <c r="BS109" s="41"/>
      <c r="BT109" s="41"/>
      <c r="BU109" s="41"/>
      <c r="BV109" s="41"/>
    </row>
    <row r="110" spans="1:74">
      <c r="A110" s="41"/>
      <c r="B110" s="57"/>
      <c r="C110" s="57"/>
      <c r="D110" s="57"/>
      <c r="E110" s="57"/>
      <c r="F110" s="57"/>
      <c r="G110" s="57"/>
      <c r="H110" s="57"/>
      <c r="I110" s="57"/>
      <c r="J110" s="57"/>
      <c r="K110" s="57"/>
      <c r="L110" s="57"/>
      <c r="M110" s="57"/>
      <c r="N110" s="57"/>
      <c r="O110" s="57"/>
      <c r="P110" s="57"/>
      <c r="Q110" s="57"/>
      <c r="R110" s="127"/>
      <c r="S110" s="210"/>
      <c r="T110" s="52"/>
      <c r="U110" s="52"/>
      <c r="V110" s="103"/>
      <c r="W110" s="57"/>
      <c r="X110" s="57"/>
      <c r="Y110" s="57"/>
      <c r="Z110" s="57"/>
      <c r="AA110" s="57"/>
      <c r="AB110" s="57"/>
      <c r="AC110" s="57"/>
      <c r="AD110" s="57"/>
      <c r="AE110" s="57"/>
      <c r="AF110" s="57"/>
      <c r="AG110" s="57"/>
      <c r="AH110" s="57"/>
      <c r="AI110" s="57"/>
      <c r="AJ110" s="57"/>
      <c r="AK110" s="57"/>
      <c r="AL110" s="57"/>
      <c r="AM110" s="57"/>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c r="BJ110" s="41"/>
      <c r="BK110" s="41"/>
      <c r="BL110" s="41"/>
      <c r="BM110" s="41"/>
      <c r="BN110" s="41"/>
      <c r="BO110" s="41"/>
      <c r="BP110" s="41"/>
      <c r="BQ110" s="41"/>
      <c r="BR110" s="41"/>
      <c r="BS110" s="41"/>
      <c r="BT110" s="41"/>
      <c r="BU110" s="41"/>
      <c r="BV110" s="41"/>
    </row>
    <row r="111" spans="1:74">
      <c r="A111" s="41"/>
      <c r="B111" s="57"/>
      <c r="C111" s="57"/>
      <c r="D111" s="57"/>
      <c r="E111" s="57"/>
      <c r="F111" s="57"/>
      <c r="G111" s="57"/>
      <c r="H111" s="57"/>
      <c r="I111" s="57"/>
      <c r="J111" s="57"/>
      <c r="K111" s="57"/>
      <c r="L111" s="57"/>
      <c r="M111" s="57"/>
      <c r="N111" s="57"/>
      <c r="O111" s="57"/>
      <c r="P111" s="57"/>
      <c r="Q111" s="57"/>
      <c r="R111" s="127"/>
      <c r="S111" s="210"/>
      <c r="T111" s="52"/>
      <c r="U111" s="52"/>
      <c r="V111" s="103"/>
      <c r="W111" s="57"/>
      <c r="X111" s="57"/>
      <c r="Y111" s="57"/>
      <c r="Z111" s="57"/>
      <c r="AA111" s="57"/>
      <c r="AB111" s="57"/>
      <c r="AC111" s="57"/>
      <c r="AD111" s="57"/>
      <c r="AE111" s="57"/>
      <c r="AF111" s="57"/>
      <c r="AG111" s="57"/>
      <c r="AH111" s="57"/>
      <c r="AI111" s="57"/>
      <c r="AJ111" s="57"/>
      <c r="AK111" s="57"/>
      <c r="AL111" s="57"/>
      <c r="AM111" s="57"/>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c r="BJ111" s="41"/>
      <c r="BK111" s="41"/>
      <c r="BL111" s="41"/>
      <c r="BM111" s="41"/>
      <c r="BN111" s="41"/>
      <c r="BO111" s="41"/>
      <c r="BP111" s="41"/>
      <c r="BQ111" s="41"/>
      <c r="BR111" s="41"/>
      <c r="BS111" s="41"/>
      <c r="BT111" s="41"/>
      <c r="BU111" s="41"/>
      <c r="BV111" s="41"/>
    </row>
    <row r="112" spans="1:74">
      <c r="A112" s="41"/>
      <c r="B112" s="57"/>
      <c r="C112" s="57"/>
      <c r="D112" s="57"/>
      <c r="E112" s="57"/>
      <c r="F112" s="57"/>
      <c r="G112" s="57"/>
      <c r="H112" s="57"/>
      <c r="I112" s="57"/>
      <c r="J112" s="57"/>
      <c r="K112" s="57"/>
      <c r="L112" s="57"/>
      <c r="M112" s="57"/>
      <c r="N112" s="57"/>
      <c r="O112" s="57"/>
      <c r="P112" s="57"/>
      <c r="Q112" s="57"/>
      <c r="R112" s="127"/>
      <c r="S112" s="210"/>
      <c r="T112" s="52"/>
      <c r="U112" s="52"/>
      <c r="V112" s="103"/>
      <c r="W112" s="57"/>
      <c r="X112" s="57"/>
      <c r="Y112" s="57"/>
      <c r="Z112" s="57"/>
      <c r="AA112" s="57"/>
      <c r="AB112" s="57"/>
      <c r="AC112" s="57"/>
      <c r="AD112" s="57"/>
      <c r="AE112" s="57"/>
      <c r="AF112" s="57"/>
      <c r="AG112" s="57"/>
      <c r="AH112" s="57"/>
      <c r="AI112" s="57"/>
      <c r="AJ112" s="57"/>
      <c r="AK112" s="57"/>
      <c r="AL112" s="57"/>
      <c r="AM112" s="57"/>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c r="BJ112" s="41"/>
      <c r="BK112" s="41"/>
      <c r="BL112" s="41"/>
      <c r="BM112" s="41"/>
      <c r="BN112" s="41"/>
      <c r="BO112" s="41"/>
      <c r="BP112" s="41"/>
      <c r="BQ112" s="41"/>
      <c r="BR112" s="41"/>
      <c r="BS112" s="41"/>
      <c r="BT112" s="41"/>
      <c r="BU112" s="41"/>
      <c r="BV112" s="41"/>
    </row>
    <row r="113" spans="1:74">
      <c r="A113" s="41"/>
      <c r="B113" s="57"/>
      <c r="C113" s="57"/>
      <c r="D113" s="57"/>
      <c r="E113" s="57"/>
      <c r="F113" s="57"/>
      <c r="G113" s="57"/>
      <c r="H113" s="57"/>
      <c r="I113" s="57"/>
      <c r="J113" s="57"/>
      <c r="K113" s="57"/>
      <c r="L113" s="57"/>
      <c r="M113" s="57"/>
      <c r="N113" s="57"/>
      <c r="O113" s="57"/>
      <c r="P113" s="57"/>
      <c r="Q113" s="57"/>
      <c r="R113" s="127"/>
      <c r="S113" s="210"/>
      <c r="T113" s="52"/>
      <c r="U113" s="52"/>
      <c r="V113" s="103"/>
      <c r="W113" s="57"/>
      <c r="X113" s="57"/>
      <c r="Y113" s="57"/>
      <c r="Z113" s="57"/>
      <c r="AA113" s="57"/>
      <c r="AB113" s="57"/>
      <c r="AC113" s="57"/>
      <c r="AD113" s="57"/>
      <c r="AE113" s="57"/>
      <c r="AF113" s="57"/>
      <c r="AG113" s="57"/>
      <c r="AH113" s="57"/>
      <c r="AI113" s="57"/>
      <c r="AJ113" s="57"/>
      <c r="AK113" s="57"/>
      <c r="AL113" s="57"/>
      <c r="AM113" s="57"/>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c r="BJ113" s="41"/>
      <c r="BK113" s="41"/>
      <c r="BL113" s="41"/>
      <c r="BM113" s="41"/>
      <c r="BN113" s="41"/>
      <c r="BO113" s="41"/>
      <c r="BP113" s="41"/>
      <c r="BQ113" s="41"/>
      <c r="BR113" s="41"/>
      <c r="BS113" s="41"/>
      <c r="BT113" s="41"/>
      <c r="BU113" s="41"/>
      <c r="BV113" s="41"/>
    </row>
    <row r="114" spans="1:74">
      <c r="A114" s="41"/>
      <c r="B114" s="57"/>
      <c r="C114" s="57"/>
      <c r="D114" s="57"/>
      <c r="E114" s="57"/>
      <c r="F114" s="57"/>
      <c r="G114" s="57"/>
      <c r="H114" s="57"/>
      <c r="I114" s="57"/>
      <c r="J114" s="57"/>
      <c r="K114" s="57"/>
      <c r="L114" s="57"/>
      <c r="M114" s="57"/>
      <c r="N114" s="57"/>
      <c r="O114" s="57"/>
      <c r="P114" s="57"/>
      <c r="Q114" s="57"/>
      <c r="R114" s="127"/>
      <c r="S114" s="210"/>
      <c r="T114" s="52"/>
      <c r="U114" s="52"/>
      <c r="V114" s="103"/>
      <c r="W114" s="57"/>
      <c r="X114" s="57"/>
      <c r="Y114" s="57"/>
      <c r="Z114" s="57"/>
      <c r="AA114" s="57"/>
      <c r="AB114" s="57"/>
      <c r="AC114" s="57"/>
      <c r="AD114" s="57"/>
      <c r="AE114" s="57"/>
      <c r="AF114" s="57"/>
      <c r="AG114" s="57"/>
      <c r="AH114" s="57"/>
      <c r="AI114" s="57"/>
      <c r="AJ114" s="57"/>
      <c r="AK114" s="57"/>
      <c r="AL114" s="57"/>
      <c r="AM114" s="57"/>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c r="BJ114" s="41"/>
      <c r="BK114" s="41"/>
      <c r="BL114" s="41"/>
      <c r="BM114" s="41"/>
      <c r="BN114" s="41"/>
      <c r="BO114" s="41"/>
      <c r="BP114" s="41"/>
      <c r="BQ114" s="41"/>
      <c r="BR114" s="41"/>
      <c r="BS114" s="41"/>
      <c r="BT114" s="41"/>
      <c r="BU114" s="41"/>
      <c r="BV114" s="41"/>
    </row>
    <row r="115" spans="1:74">
      <c r="A115" s="41"/>
      <c r="B115" s="57"/>
      <c r="C115" s="57"/>
      <c r="D115" s="57"/>
      <c r="E115" s="57"/>
      <c r="F115" s="57"/>
      <c r="G115" s="57"/>
      <c r="H115" s="57"/>
      <c r="I115" s="57"/>
      <c r="J115" s="57"/>
      <c r="K115" s="57"/>
      <c r="L115" s="57"/>
      <c r="M115" s="57"/>
      <c r="N115" s="57"/>
      <c r="O115" s="57"/>
      <c r="P115" s="57"/>
      <c r="Q115" s="57"/>
      <c r="R115" s="127"/>
      <c r="S115" s="210"/>
      <c r="T115" s="52"/>
      <c r="U115" s="52"/>
      <c r="V115" s="103"/>
      <c r="W115" s="57"/>
      <c r="X115" s="57"/>
      <c r="Y115" s="57"/>
      <c r="Z115" s="57"/>
      <c r="AA115" s="57"/>
      <c r="AB115" s="57"/>
      <c r="AC115" s="57"/>
      <c r="AD115" s="57"/>
      <c r="AE115" s="57"/>
      <c r="AF115" s="57"/>
      <c r="AG115" s="57"/>
      <c r="AH115" s="57"/>
      <c r="AI115" s="57"/>
      <c r="AJ115" s="57"/>
      <c r="AK115" s="57"/>
      <c r="AL115" s="57"/>
      <c r="AM115" s="57"/>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c r="BJ115" s="41"/>
      <c r="BK115" s="41"/>
      <c r="BL115" s="41"/>
      <c r="BM115" s="41"/>
      <c r="BN115" s="41"/>
      <c r="BO115" s="41"/>
      <c r="BP115" s="41"/>
      <c r="BQ115" s="41"/>
      <c r="BR115" s="41"/>
      <c r="BS115" s="41"/>
      <c r="BT115" s="41"/>
      <c r="BU115" s="41"/>
      <c r="BV115" s="41"/>
    </row>
    <row r="116" spans="1:74">
      <c r="A116" s="41"/>
      <c r="B116" s="57"/>
      <c r="C116" s="57"/>
      <c r="D116" s="57"/>
      <c r="E116" s="57"/>
      <c r="F116" s="57"/>
      <c r="G116" s="57"/>
      <c r="H116" s="57"/>
      <c r="I116" s="57"/>
      <c r="J116" s="57"/>
      <c r="K116" s="57"/>
      <c r="L116" s="57"/>
      <c r="M116" s="57"/>
      <c r="N116" s="57"/>
      <c r="O116" s="57"/>
      <c r="P116" s="57"/>
      <c r="Q116" s="57"/>
      <c r="R116" s="127"/>
      <c r="S116" s="210"/>
      <c r="T116" s="52"/>
      <c r="U116" s="52"/>
      <c r="V116" s="103"/>
      <c r="W116" s="57"/>
      <c r="X116" s="57"/>
      <c r="Y116" s="57"/>
      <c r="Z116" s="57"/>
      <c r="AA116" s="57"/>
      <c r="AB116" s="57"/>
      <c r="AC116" s="57"/>
      <c r="AD116" s="57"/>
      <c r="AE116" s="57"/>
      <c r="AF116" s="57"/>
      <c r="AG116" s="57"/>
      <c r="AH116" s="57"/>
      <c r="AI116" s="57"/>
      <c r="AJ116" s="57"/>
      <c r="AK116" s="57"/>
      <c r="AL116" s="57"/>
      <c r="AM116" s="57"/>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c r="BJ116" s="41"/>
      <c r="BK116" s="41"/>
      <c r="BL116" s="41"/>
      <c r="BM116" s="41"/>
      <c r="BN116" s="41"/>
      <c r="BO116" s="41"/>
      <c r="BP116" s="41"/>
      <c r="BQ116" s="41"/>
      <c r="BR116" s="41"/>
      <c r="BS116" s="41"/>
      <c r="BT116" s="41"/>
      <c r="BU116" s="41"/>
      <c r="BV116" s="41"/>
    </row>
    <row r="117" spans="1:74">
      <c r="A117" s="41"/>
      <c r="B117" s="57"/>
      <c r="C117" s="57"/>
      <c r="D117" s="57"/>
      <c r="E117" s="57"/>
      <c r="F117" s="57"/>
      <c r="G117" s="57"/>
      <c r="H117" s="57"/>
      <c r="I117" s="57"/>
      <c r="J117" s="57"/>
      <c r="K117" s="57"/>
      <c r="L117" s="57"/>
      <c r="M117" s="57"/>
      <c r="N117" s="57"/>
      <c r="O117" s="57"/>
      <c r="P117" s="57"/>
      <c r="Q117" s="57"/>
      <c r="R117" s="127"/>
      <c r="S117" s="210"/>
      <c r="T117" s="52"/>
      <c r="U117" s="52"/>
      <c r="V117" s="103"/>
      <c r="W117" s="57"/>
      <c r="X117" s="57"/>
      <c r="Y117" s="57"/>
      <c r="Z117" s="57"/>
      <c r="AA117" s="57"/>
      <c r="AB117" s="57"/>
      <c r="AC117" s="57"/>
      <c r="AD117" s="57"/>
      <c r="AE117" s="57"/>
      <c r="AF117" s="57"/>
      <c r="AG117" s="57"/>
      <c r="AH117" s="57"/>
      <c r="AI117" s="57"/>
      <c r="AJ117" s="57"/>
      <c r="AK117" s="57"/>
      <c r="AL117" s="57"/>
      <c r="AM117" s="57"/>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c r="BJ117" s="41"/>
      <c r="BK117" s="41"/>
      <c r="BL117" s="41"/>
      <c r="BM117" s="41"/>
      <c r="BN117" s="41"/>
      <c r="BO117" s="41"/>
      <c r="BP117" s="41"/>
      <c r="BQ117" s="41"/>
      <c r="BR117" s="41"/>
      <c r="BS117" s="41"/>
      <c r="BT117" s="41"/>
      <c r="BU117" s="41"/>
      <c r="BV117" s="41"/>
    </row>
    <row r="118" spans="1:74">
      <c r="A118" s="41"/>
      <c r="B118" s="57"/>
      <c r="C118" s="57"/>
      <c r="D118" s="57"/>
      <c r="E118" s="57"/>
      <c r="F118" s="57"/>
      <c r="G118" s="57"/>
      <c r="H118" s="57"/>
      <c r="I118" s="57"/>
      <c r="J118" s="57"/>
      <c r="K118" s="57"/>
      <c r="L118" s="57"/>
      <c r="M118" s="57"/>
      <c r="N118" s="57"/>
      <c r="O118" s="57"/>
      <c r="P118" s="57"/>
      <c r="Q118" s="57"/>
      <c r="R118" s="127"/>
      <c r="S118" s="210"/>
      <c r="T118" s="52"/>
      <c r="U118" s="52"/>
      <c r="V118" s="103"/>
      <c r="W118" s="57"/>
      <c r="X118" s="57"/>
      <c r="Y118" s="57"/>
      <c r="Z118" s="57"/>
      <c r="AA118" s="57"/>
      <c r="AB118" s="57"/>
      <c r="AC118" s="57"/>
      <c r="AD118" s="57"/>
      <c r="AE118" s="57"/>
      <c r="AF118" s="57"/>
      <c r="AG118" s="57"/>
      <c r="AH118" s="57"/>
      <c r="AI118" s="57"/>
      <c r="AJ118" s="57"/>
      <c r="AK118" s="57"/>
      <c r="AL118" s="57"/>
      <c r="AM118" s="57"/>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c r="BJ118" s="41"/>
      <c r="BK118" s="41"/>
      <c r="BL118" s="41"/>
      <c r="BM118" s="41"/>
      <c r="BN118" s="41"/>
      <c r="BO118" s="41"/>
      <c r="BP118" s="41"/>
      <c r="BQ118" s="41"/>
      <c r="BR118" s="41"/>
      <c r="BS118" s="41"/>
      <c r="BT118" s="41"/>
      <c r="BU118" s="41"/>
      <c r="BV118" s="41"/>
    </row>
    <row r="119" spans="1:74">
      <c r="A119" s="41"/>
      <c r="B119" s="57"/>
      <c r="C119" s="57"/>
      <c r="D119" s="57"/>
      <c r="E119" s="57"/>
      <c r="F119" s="57"/>
      <c r="G119" s="57"/>
      <c r="H119" s="57"/>
      <c r="I119" s="57"/>
      <c r="J119" s="57"/>
      <c r="K119" s="57"/>
      <c r="L119" s="57"/>
      <c r="M119" s="57"/>
      <c r="N119" s="57"/>
      <c r="O119" s="57"/>
      <c r="P119" s="57"/>
      <c r="Q119" s="57"/>
      <c r="R119" s="127"/>
      <c r="S119" s="210"/>
      <c r="T119" s="52"/>
      <c r="U119" s="52"/>
      <c r="V119" s="103"/>
      <c r="W119" s="57"/>
      <c r="X119" s="57"/>
      <c r="Y119" s="57"/>
      <c r="Z119" s="57"/>
      <c r="AA119" s="57"/>
      <c r="AB119" s="57"/>
      <c r="AC119" s="57"/>
      <c r="AD119" s="57"/>
      <c r="AE119" s="57"/>
      <c r="AF119" s="57"/>
      <c r="AG119" s="57"/>
      <c r="AH119" s="57"/>
      <c r="AI119" s="57"/>
      <c r="AJ119" s="57"/>
      <c r="AK119" s="57"/>
      <c r="AL119" s="57"/>
      <c r="AM119" s="57"/>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c r="BJ119" s="41"/>
      <c r="BK119" s="41"/>
      <c r="BL119" s="41"/>
      <c r="BM119" s="41"/>
      <c r="BN119" s="41"/>
      <c r="BO119" s="41"/>
      <c r="BP119" s="41"/>
      <c r="BQ119" s="41"/>
      <c r="BR119" s="41"/>
      <c r="BS119" s="41"/>
      <c r="BT119" s="41"/>
      <c r="BU119" s="41"/>
      <c r="BV119" s="41"/>
    </row>
    <row r="120" spans="1:74">
      <c r="A120" s="41"/>
      <c r="B120" s="57"/>
      <c r="C120" s="57"/>
      <c r="D120" s="57"/>
      <c r="E120" s="57"/>
      <c r="F120" s="57"/>
      <c r="G120" s="57"/>
      <c r="H120" s="57"/>
      <c r="I120" s="57"/>
      <c r="J120" s="57"/>
      <c r="K120" s="57"/>
      <c r="L120" s="57"/>
      <c r="M120" s="57"/>
      <c r="N120" s="57"/>
      <c r="O120" s="57"/>
      <c r="P120" s="57"/>
      <c r="Q120" s="57"/>
      <c r="R120" s="127"/>
      <c r="S120" s="210"/>
      <c r="T120" s="52"/>
      <c r="U120" s="52"/>
      <c r="V120" s="103"/>
      <c r="W120" s="57"/>
      <c r="X120" s="57"/>
      <c r="Y120" s="57"/>
      <c r="Z120" s="57"/>
      <c r="AA120" s="57"/>
      <c r="AB120" s="57"/>
      <c r="AC120" s="57"/>
      <c r="AD120" s="57"/>
      <c r="AE120" s="57"/>
      <c r="AF120" s="57"/>
      <c r="AG120" s="57"/>
      <c r="AH120" s="57"/>
      <c r="AI120" s="57"/>
      <c r="AJ120" s="57"/>
      <c r="AK120" s="57"/>
      <c r="AL120" s="57"/>
      <c r="AM120" s="57"/>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c r="BJ120" s="41"/>
      <c r="BK120" s="41"/>
      <c r="BL120" s="41"/>
      <c r="BM120" s="41"/>
      <c r="BN120" s="41"/>
      <c r="BO120" s="41"/>
      <c r="BP120" s="41"/>
      <c r="BQ120" s="41"/>
      <c r="BR120" s="41"/>
      <c r="BS120" s="41"/>
      <c r="BT120" s="41"/>
      <c r="BU120" s="41"/>
      <c r="BV120" s="41"/>
    </row>
    <row r="121" spans="1:74">
      <c r="A121" s="41"/>
      <c r="B121" s="57"/>
      <c r="C121" s="57"/>
      <c r="D121" s="57"/>
      <c r="E121" s="57"/>
      <c r="F121" s="57"/>
      <c r="G121" s="57"/>
      <c r="H121" s="57"/>
      <c r="I121" s="57"/>
      <c r="J121" s="57"/>
      <c r="K121" s="57"/>
      <c r="L121" s="57"/>
      <c r="M121" s="57"/>
      <c r="N121" s="57"/>
      <c r="O121" s="57"/>
      <c r="P121" s="57"/>
      <c r="Q121" s="57"/>
      <c r="R121" s="127"/>
      <c r="S121" s="210"/>
      <c r="T121" s="52"/>
      <c r="U121" s="52"/>
      <c r="V121" s="103"/>
      <c r="W121" s="57"/>
      <c r="X121" s="57"/>
      <c r="Y121" s="57"/>
      <c r="Z121" s="57"/>
      <c r="AA121" s="57"/>
      <c r="AB121" s="57"/>
      <c r="AC121" s="57"/>
      <c r="AD121" s="57"/>
      <c r="AE121" s="57"/>
      <c r="AF121" s="57"/>
      <c r="AG121" s="57"/>
      <c r="AH121" s="57"/>
      <c r="AI121" s="57"/>
      <c r="AJ121" s="57"/>
      <c r="AK121" s="57"/>
      <c r="AL121" s="57"/>
      <c r="AM121" s="57"/>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c r="BJ121" s="41"/>
      <c r="BK121" s="41"/>
      <c r="BL121" s="41"/>
      <c r="BM121" s="41"/>
      <c r="BN121" s="41"/>
      <c r="BO121" s="41"/>
      <c r="BP121" s="41"/>
      <c r="BQ121" s="41"/>
      <c r="BR121" s="41"/>
      <c r="BS121" s="41"/>
      <c r="BT121" s="41"/>
      <c r="BU121" s="41"/>
      <c r="BV121" s="41"/>
    </row>
    <row r="122" spans="1:74">
      <c r="A122" s="41"/>
      <c r="B122" s="57"/>
      <c r="C122" s="57"/>
      <c r="D122" s="57"/>
      <c r="E122" s="57"/>
      <c r="F122" s="57"/>
      <c r="G122" s="57"/>
      <c r="H122" s="57"/>
      <c r="I122" s="57"/>
      <c r="J122" s="57"/>
      <c r="K122" s="57"/>
      <c r="L122" s="57"/>
      <c r="M122" s="57"/>
      <c r="N122" s="57"/>
      <c r="O122" s="57"/>
      <c r="P122" s="57"/>
      <c r="Q122" s="57"/>
      <c r="R122" s="127"/>
      <c r="S122" s="210"/>
      <c r="T122" s="52"/>
      <c r="U122" s="52"/>
      <c r="V122" s="103"/>
      <c r="W122" s="57"/>
      <c r="X122" s="57"/>
      <c r="Y122" s="57"/>
      <c r="Z122" s="57"/>
      <c r="AA122" s="57"/>
      <c r="AB122" s="57"/>
      <c r="AC122" s="57"/>
      <c r="AD122" s="57"/>
      <c r="AE122" s="57"/>
      <c r="AF122" s="57"/>
      <c r="AG122" s="57"/>
      <c r="AH122" s="57"/>
      <c r="AI122" s="57"/>
      <c r="AJ122" s="57"/>
      <c r="AK122" s="57"/>
      <c r="AL122" s="57"/>
      <c r="AM122" s="57"/>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c r="BJ122" s="41"/>
      <c r="BK122" s="41"/>
      <c r="BL122" s="41"/>
      <c r="BM122" s="41"/>
      <c r="BN122" s="41"/>
      <c r="BO122" s="41"/>
      <c r="BP122" s="41"/>
      <c r="BQ122" s="41"/>
      <c r="BR122" s="41"/>
      <c r="BS122" s="41"/>
      <c r="BT122" s="41"/>
      <c r="BU122" s="41"/>
      <c r="BV122" s="41"/>
    </row>
    <row r="123" spans="1:74">
      <c r="A123" s="41"/>
      <c r="B123" s="57"/>
      <c r="C123" s="57"/>
      <c r="D123" s="57"/>
      <c r="E123" s="57"/>
      <c r="F123" s="57"/>
      <c r="G123" s="57"/>
      <c r="H123" s="57"/>
      <c r="I123" s="57"/>
      <c r="J123" s="57"/>
      <c r="K123" s="57"/>
      <c r="L123" s="57"/>
      <c r="M123" s="57"/>
      <c r="N123" s="57"/>
      <c r="O123" s="57"/>
      <c r="P123" s="57"/>
      <c r="Q123" s="57"/>
      <c r="R123" s="127"/>
      <c r="S123" s="210"/>
      <c r="T123" s="52"/>
      <c r="U123" s="52"/>
      <c r="V123" s="103"/>
      <c r="W123" s="57"/>
      <c r="X123" s="57"/>
      <c r="Y123" s="57"/>
      <c r="Z123" s="57"/>
      <c r="AA123" s="57"/>
      <c r="AB123" s="57"/>
      <c r="AC123" s="57"/>
      <c r="AD123" s="57"/>
      <c r="AE123" s="57"/>
      <c r="AF123" s="57"/>
      <c r="AG123" s="57"/>
      <c r="AH123" s="57"/>
      <c r="AI123" s="57"/>
      <c r="AJ123" s="57"/>
      <c r="AK123" s="57"/>
      <c r="AL123" s="57"/>
      <c r="AM123" s="57"/>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c r="BJ123" s="41"/>
      <c r="BK123" s="41"/>
      <c r="BL123" s="41"/>
      <c r="BM123" s="41"/>
      <c r="BN123" s="41"/>
      <c r="BO123" s="41"/>
      <c r="BP123" s="41"/>
      <c r="BQ123" s="41"/>
      <c r="BR123" s="41"/>
      <c r="BS123" s="41"/>
      <c r="BT123" s="41"/>
      <c r="BU123" s="41"/>
      <c r="BV123" s="41"/>
    </row>
    <row r="124" spans="1:74">
      <c r="A124" s="41"/>
      <c r="B124" s="57"/>
      <c r="C124" s="57"/>
      <c r="D124" s="57"/>
      <c r="E124" s="57"/>
      <c r="F124" s="57"/>
      <c r="G124" s="57"/>
      <c r="H124" s="57"/>
      <c r="I124" s="57"/>
      <c r="J124" s="57"/>
      <c r="K124" s="57"/>
      <c r="L124" s="57"/>
      <c r="M124" s="57"/>
      <c r="N124" s="57"/>
      <c r="O124" s="57"/>
      <c r="P124" s="57"/>
      <c r="Q124" s="57"/>
      <c r="R124" s="127"/>
      <c r="S124" s="210"/>
      <c r="T124" s="52"/>
      <c r="U124" s="52"/>
      <c r="V124" s="103"/>
      <c r="W124" s="57"/>
      <c r="X124" s="57"/>
      <c r="Y124" s="57"/>
      <c r="Z124" s="57"/>
      <c r="AA124" s="57"/>
      <c r="AB124" s="57"/>
      <c r="AC124" s="57"/>
      <c r="AD124" s="57"/>
      <c r="AE124" s="57"/>
      <c r="AF124" s="57"/>
      <c r="AG124" s="57"/>
      <c r="AH124" s="57"/>
      <c r="AI124" s="57"/>
      <c r="AJ124" s="57"/>
      <c r="AK124" s="57"/>
      <c r="AL124" s="57"/>
      <c r="AM124" s="57"/>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c r="BJ124" s="41"/>
      <c r="BK124" s="41"/>
      <c r="BL124" s="41"/>
      <c r="BM124" s="41"/>
      <c r="BN124" s="41"/>
      <c r="BO124" s="41"/>
      <c r="BP124" s="41"/>
      <c r="BQ124" s="41"/>
      <c r="BR124" s="41"/>
      <c r="BS124" s="41"/>
      <c r="BT124" s="41"/>
      <c r="BU124" s="41"/>
      <c r="BV124" s="41"/>
    </row>
    <row r="125" spans="1:74">
      <c r="A125" s="41"/>
      <c r="B125" s="57"/>
      <c r="C125" s="57"/>
      <c r="D125" s="57"/>
      <c r="E125" s="57"/>
      <c r="F125" s="57"/>
      <c r="G125" s="57"/>
      <c r="H125" s="57"/>
      <c r="I125" s="57"/>
      <c r="J125" s="57"/>
      <c r="K125" s="57"/>
      <c r="L125" s="57"/>
      <c r="M125" s="57"/>
      <c r="N125" s="57"/>
      <c r="O125" s="57"/>
      <c r="P125" s="57"/>
      <c r="Q125" s="57"/>
      <c r="R125" s="127"/>
      <c r="S125" s="210"/>
      <c r="T125" s="52"/>
      <c r="U125" s="52"/>
      <c r="V125" s="103"/>
      <c r="W125" s="57"/>
      <c r="X125" s="57"/>
      <c r="Y125" s="57"/>
      <c r="Z125" s="57"/>
      <c r="AA125" s="57"/>
      <c r="AB125" s="57"/>
      <c r="AC125" s="57"/>
      <c r="AD125" s="57"/>
      <c r="AE125" s="57"/>
      <c r="AF125" s="57"/>
      <c r="AG125" s="57"/>
      <c r="AH125" s="57"/>
      <c r="AI125" s="57"/>
      <c r="AJ125" s="57"/>
      <c r="AK125" s="57"/>
      <c r="AL125" s="57"/>
      <c r="AM125" s="57"/>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c r="BJ125" s="41"/>
      <c r="BK125" s="41"/>
      <c r="BL125" s="41"/>
      <c r="BM125" s="41"/>
      <c r="BN125" s="41"/>
      <c r="BO125" s="41"/>
      <c r="BP125" s="41"/>
      <c r="BQ125" s="41"/>
      <c r="BR125" s="41"/>
      <c r="BS125" s="41"/>
      <c r="BT125" s="41"/>
      <c r="BU125" s="41"/>
      <c r="BV125" s="41"/>
    </row>
    <row r="126" spans="1:74">
      <c r="A126" s="41"/>
      <c r="B126" s="57"/>
      <c r="C126" s="57"/>
      <c r="D126" s="57"/>
      <c r="E126" s="57"/>
      <c r="F126" s="57"/>
      <c r="G126" s="57"/>
      <c r="H126" s="57"/>
      <c r="I126" s="57"/>
      <c r="J126" s="57"/>
      <c r="K126" s="57"/>
      <c r="L126" s="57"/>
      <c r="M126" s="57"/>
      <c r="N126" s="57"/>
      <c r="O126" s="57"/>
      <c r="P126" s="57"/>
      <c r="Q126" s="57"/>
      <c r="R126" s="127"/>
      <c r="S126" s="210"/>
      <c r="T126" s="52"/>
      <c r="U126" s="52"/>
      <c r="V126" s="103"/>
      <c r="W126" s="57"/>
      <c r="X126" s="57"/>
      <c r="Y126" s="57"/>
      <c r="Z126" s="57"/>
      <c r="AA126" s="57"/>
      <c r="AB126" s="57"/>
      <c r="AC126" s="57"/>
      <c r="AD126" s="57"/>
      <c r="AE126" s="57"/>
      <c r="AF126" s="57"/>
      <c r="AG126" s="57"/>
      <c r="AH126" s="57"/>
      <c r="AI126" s="57"/>
      <c r="AJ126" s="57"/>
      <c r="AK126" s="57"/>
      <c r="AL126" s="57"/>
      <c r="AM126" s="57"/>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c r="BJ126" s="41"/>
      <c r="BK126" s="41"/>
      <c r="BL126" s="41"/>
      <c r="BM126" s="41"/>
      <c r="BN126" s="41"/>
      <c r="BO126" s="41"/>
      <c r="BP126" s="41"/>
      <c r="BQ126" s="41"/>
      <c r="BR126" s="41"/>
      <c r="BS126" s="41"/>
      <c r="BT126" s="41"/>
      <c r="BU126" s="41"/>
      <c r="BV126" s="41"/>
    </row>
    <row r="127" spans="1:74">
      <c r="A127" s="41"/>
      <c r="B127" s="57"/>
      <c r="C127" s="57"/>
      <c r="D127" s="57"/>
      <c r="E127" s="57"/>
      <c r="F127" s="57"/>
      <c r="G127" s="57"/>
      <c r="H127" s="57"/>
      <c r="I127" s="57"/>
      <c r="J127" s="57"/>
      <c r="K127" s="57"/>
      <c r="L127" s="57"/>
      <c r="M127" s="57"/>
      <c r="N127" s="57"/>
      <c r="O127" s="57"/>
      <c r="P127" s="57"/>
      <c r="Q127" s="57"/>
      <c r="R127" s="127"/>
      <c r="S127" s="210"/>
      <c r="T127" s="52"/>
      <c r="U127" s="52"/>
      <c r="V127" s="103"/>
      <c r="W127" s="57"/>
      <c r="X127" s="57"/>
      <c r="Y127" s="57"/>
      <c r="Z127" s="57"/>
      <c r="AA127" s="57"/>
      <c r="AB127" s="57"/>
      <c r="AC127" s="57"/>
      <c r="AD127" s="57"/>
      <c r="AE127" s="57"/>
      <c r="AF127" s="57"/>
      <c r="AG127" s="57"/>
      <c r="AH127" s="57"/>
      <c r="AI127" s="57"/>
      <c r="AJ127" s="57"/>
      <c r="AK127" s="57"/>
      <c r="AL127" s="57"/>
      <c r="AM127" s="57"/>
      <c r="AN127" s="41"/>
      <c r="AO127" s="41"/>
      <c r="AP127" s="41"/>
      <c r="AQ127" s="41"/>
      <c r="AR127" s="41"/>
      <c r="AS127" s="41"/>
      <c r="AT127" s="41"/>
      <c r="AU127" s="41"/>
      <c r="AV127" s="41"/>
      <c r="AW127" s="41"/>
      <c r="AX127" s="41"/>
      <c r="AY127" s="41"/>
      <c r="AZ127" s="41"/>
      <c r="BA127" s="41"/>
      <c r="BB127" s="41"/>
      <c r="BC127" s="41"/>
      <c r="BD127" s="41"/>
      <c r="BE127" s="41"/>
      <c r="BF127" s="41"/>
      <c r="BG127" s="41"/>
      <c r="BH127" s="41"/>
      <c r="BI127" s="41"/>
      <c r="BJ127" s="41"/>
      <c r="BK127" s="41"/>
      <c r="BL127" s="41"/>
      <c r="BM127" s="41"/>
      <c r="BN127" s="41"/>
      <c r="BO127" s="41"/>
      <c r="BP127" s="41"/>
      <c r="BQ127" s="41"/>
      <c r="BR127" s="41"/>
      <c r="BS127" s="41"/>
      <c r="BT127" s="41"/>
      <c r="BU127" s="41"/>
      <c r="BV127" s="41"/>
    </row>
    <row r="128" spans="1:74">
      <c r="A128" s="41"/>
      <c r="B128" s="57"/>
      <c r="C128" s="57"/>
      <c r="D128" s="57"/>
      <c r="E128" s="57"/>
      <c r="F128" s="57"/>
      <c r="G128" s="57"/>
      <c r="H128" s="57"/>
      <c r="I128" s="57"/>
      <c r="J128" s="57"/>
      <c r="K128" s="57"/>
      <c r="L128" s="57"/>
      <c r="M128" s="57"/>
      <c r="N128" s="57"/>
      <c r="O128" s="57"/>
      <c r="P128" s="57"/>
      <c r="Q128" s="57"/>
      <c r="R128" s="127"/>
      <c r="S128" s="210"/>
      <c r="T128" s="52"/>
      <c r="U128" s="52"/>
      <c r="V128" s="103"/>
      <c r="W128" s="57"/>
      <c r="X128" s="57"/>
      <c r="Y128" s="57"/>
      <c r="Z128" s="57"/>
      <c r="AA128" s="57"/>
      <c r="AB128" s="57"/>
      <c r="AC128" s="57"/>
      <c r="AD128" s="57"/>
      <c r="AE128" s="57"/>
      <c r="AF128" s="57"/>
      <c r="AG128" s="57"/>
      <c r="AH128" s="57"/>
      <c r="AI128" s="57"/>
      <c r="AJ128" s="57"/>
      <c r="AK128" s="57"/>
      <c r="AL128" s="57"/>
      <c r="AM128" s="57"/>
      <c r="AN128" s="41"/>
      <c r="AO128" s="41"/>
      <c r="AP128" s="41"/>
      <c r="AQ128" s="41"/>
      <c r="AR128" s="41"/>
      <c r="AS128" s="41"/>
      <c r="AT128" s="41"/>
      <c r="AU128" s="41"/>
      <c r="AV128" s="41"/>
      <c r="AW128" s="41"/>
      <c r="AX128" s="41"/>
      <c r="AY128" s="41"/>
      <c r="AZ128" s="41"/>
      <c r="BA128" s="41"/>
      <c r="BB128" s="41"/>
      <c r="BC128" s="41"/>
      <c r="BD128" s="41"/>
      <c r="BE128" s="41"/>
      <c r="BF128" s="41"/>
      <c r="BG128" s="41"/>
      <c r="BH128" s="41"/>
      <c r="BI128" s="41"/>
      <c r="BJ128" s="41"/>
      <c r="BK128" s="41"/>
      <c r="BL128" s="41"/>
      <c r="BM128" s="41"/>
      <c r="BN128" s="41"/>
      <c r="BO128" s="41"/>
      <c r="BP128" s="41"/>
      <c r="BQ128" s="41"/>
      <c r="BR128" s="41"/>
      <c r="BS128" s="41"/>
      <c r="BT128" s="41"/>
      <c r="BU128" s="41"/>
      <c r="BV128" s="41"/>
    </row>
    <row r="129" spans="1:74">
      <c r="A129" s="41"/>
      <c r="B129" s="57"/>
      <c r="C129" s="57"/>
      <c r="D129" s="57"/>
      <c r="E129" s="57"/>
      <c r="F129" s="57"/>
      <c r="G129" s="57"/>
      <c r="H129" s="57"/>
      <c r="I129" s="57"/>
      <c r="J129" s="57"/>
      <c r="K129" s="57"/>
      <c r="L129" s="57"/>
      <c r="M129" s="57"/>
      <c r="N129" s="57"/>
      <c r="O129" s="57"/>
      <c r="P129" s="57"/>
      <c r="Q129" s="57"/>
      <c r="R129" s="127"/>
      <c r="S129" s="210"/>
      <c r="T129" s="52"/>
      <c r="U129" s="52"/>
      <c r="V129" s="103"/>
      <c r="W129" s="57"/>
      <c r="X129" s="57"/>
      <c r="Y129" s="57"/>
      <c r="Z129" s="57"/>
      <c r="AA129" s="57"/>
      <c r="AB129" s="57"/>
      <c r="AC129" s="57"/>
      <c r="AD129" s="57"/>
      <c r="AE129" s="57"/>
      <c r="AF129" s="57"/>
      <c r="AG129" s="57"/>
      <c r="AH129" s="57"/>
      <c r="AI129" s="57"/>
      <c r="AJ129" s="57"/>
      <c r="AK129" s="57"/>
      <c r="AL129" s="57"/>
      <c r="AM129" s="57"/>
      <c r="AN129" s="41"/>
      <c r="AO129" s="41"/>
      <c r="AP129" s="41"/>
      <c r="AQ129" s="41"/>
      <c r="AR129" s="41"/>
      <c r="AS129" s="41"/>
      <c r="AT129" s="41"/>
      <c r="AU129" s="41"/>
      <c r="AV129" s="41"/>
      <c r="AW129" s="41"/>
      <c r="AX129" s="41"/>
      <c r="AY129" s="41"/>
      <c r="AZ129" s="41"/>
      <c r="BA129" s="41"/>
      <c r="BB129" s="41"/>
      <c r="BC129" s="41"/>
      <c r="BD129" s="41"/>
      <c r="BE129" s="41"/>
      <c r="BF129" s="41"/>
      <c r="BG129" s="41"/>
      <c r="BH129" s="41"/>
      <c r="BI129" s="41"/>
      <c r="BJ129" s="41"/>
      <c r="BK129" s="41"/>
      <c r="BL129" s="41"/>
      <c r="BM129" s="41"/>
      <c r="BN129" s="41"/>
      <c r="BO129" s="41"/>
      <c r="BP129" s="41"/>
      <c r="BQ129" s="41"/>
      <c r="BR129" s="41"/>
      <c r="BS129" s="41"/>
      <c r="BT129" s="41"/>
      <c r="BU129" s="41"/>
      <c r="BV129" s="41"/>
    </row>
    <row r="130" spans="1:74">
      <c r="A130" s="41"/>
      <c r="B130" s="57"/>
      <c r="C130" s="57"/>
      <c r="D130" s="57"/>
      <c r="E130" s="57"/>
      <c r="F130" s="57"/>
      <c r="G130" s="57"/>
      <c r="H130" s="57"/>
      <c r="I130" s="57"/>
      <c r="J130" s="57"/>
      <c r="K130" s="57"/>
      <c r="L130" s="57"/>
      <c r="M130" s="57"/>
      <c r="N130" s="57"/>
      <c r="O130" s="57"/>
      <c r="P130" s="57"/>
      <c r="Q130" s="57"/>
      <c r="R130" s="127"/>
      <c r="S130" s="210"/>
      <c r="T130" s="52"/>
      <c r="U130" s="52"/>
      <c r="V130" s="103"/>
      <c r="W130" s="57"/>
      <c r="X130" s="57"/>
      <c r="Y130" s="57"/>
      <c r="Z130" s="57"/>
      <c r="AA130" s="57"/>
      <c r="AB130" s="57"/>
      <c r="AC130" s="57"/>
      <c r="AD130" s="57"/>
      <c r="AE130" s="57"/>
      <c r="AF130" s="57"/>
      <c r="AG130" s="57"/>
      <c r="AH130" s="57"/>
      <c r="AI130" s="57"/>
      <c r="AJ130" s="57"/>
      <c r="AK130" s="57"/>
      <c r="AL130" s="57"/>
      <c r="AM130" s="57"/>
      <c r="AN130" s="41"/>
      <c r="AO130" s="41"/>
      <c r="AP130" s="41"/>
      <c r="AQ130" s="41"/>
      <c r="AR130" s="41"/>
      <c r="AS130" s="41"/>
      <c r="AT130" s="41"/>
      <c r="AU130" s="41"/>
      <c r="AV130" s="41"/>
      <c r="AW130" s="41"/>
      <c r="AX130" s="41"/>
      <c r="AY130" s="41"/>
      <c r="AZ130" s="41"/>
      <c r="BA130" s="41"/>
      <c r="BB130" s="41"/>
      <c r="BC130" s="41"/>
      <c r="BD130" s="41"/>
      <c r="BE130" s="41"/>
      <c r="BF130" s="41"/>
      <c r="BG130" s="41"/>
      <c r="BH130" s="41"/>
      <c r="BI130" s="41"/>
      <c r="BJ130" s="41"/>
      <c r="BK130" s="41"/>
      <c r="BL130" s="41"/>
      <c r="BM130" s="41"/>
      <c r="BN130" s="41"/>
      <c r="BO130" s="41"/>
      <c r="BP130" s="41"/>
      <c r="BQ130" s="41"/>
      <c r="BR130" s="41"/>
      <c r="BS130" s="41"/>
      <c r="BT130" s="41"/>
      <c r="BU130" s="41"/>
      <c r="BV130" s="41"/>
    </row>
    <row r="131" spans="1:74">
      <c r="A131" s="41"/>
      <c r="B131" s="57"/>
      <c r="C131" s="57"/>
      <c r="D131" s="57"/>
      <c r="E131" s="57"/>
      <c r="F131" s="57"/>
      <c r="G131" s="57"/>
      <c r="H131" s="57"/>
      <c r="I131" s="57"/>
      <c r="J131" s="57"/>
      <c r="K131" s="57"/>
      <c r="L131" s="57"/>
      <c r="M131" s="57"/>
      <c r="N131" s="57"/>
      <c r="O131" s="57"/>
      <c r="P131" s="57"/>
      <c r="Q131" s="57"/>
      <c r="R131" s="127"/>
      <c r="S131" s="210"/>
      <c r="T131" s="52"/>
      <c r="U131" s="52"/>
      <c r="V131" s="103"/>
      <c r="W131" s="57"/>
      <c r="X131" s="57"/>
      <c r="Y131" s="57"/>
      <c r="Z131" s="57"/>
      <c r="AA131" s="57"/>
      <c r="AB131" s="57"/>
      <c r="AC131" s="57"/>
      <c r="AD131" s="57"/>
      <c r="AE131" s="57"/>
      <c r="AF131" s="57"/>
      <c r="AG131" s="57"/>
      <c r="AH131" s="57"/>
      <c r="AI131" s="57"/>
      <c r="AJ131" s="57"/>
      <c r="AK131" s="57"/>
      <c r="AL131" s="57"/>
      <c r="AM131" s="57"/>
      <c r="AN131" s="41"/>
      <c r="AO131" s="41"/>
      <c r="AP131" s="41"/>
      <c r="AQ131" s="41"/>
      <c r="AR131" s="41"/>
      <c r="AS131" s="41"/>
      <c r="AT131" s="41"/>
      <c r="AU131" s="41"/>
      <c r="AV131" s="41"/>
      <c r="AW131" s="41"/>
      <c r="AX131" s="41"/>
      <c r="AY131" s="41"/>
      <c r="AZ131" s="41"/>
      <c r="BA131" s="41"/>
      <c r="BB131" s="41"/>
      <c r="BC131" s="41"/>
      <c r="BD131" s="41"/>
      <c r="BE131" s="41"/>
      <c r="BF131" s="41"/>
      <c r="BG131" s="41"/>
      <c r="BH131" s="41"/>
      <c r="BI131" s="41"/>
      <c r="BJ131" s="41"/>
      <c r="BK131" s="41"/>
      <c r="BL131" s="41"/>
      <c r="BM131" s="41"/>
      <c r="BN131" s="41"/>
      <c r="BO131" s="41"/>
      <c r="BP131" s="41"/>
      <c r="BQ131" s="41"/>
      <c r="BR131" s="41"/>
      <c r="BS131" s="41"/>
      <c r="BT131" s="41"/>
      <c r="BU131" s="41"/>
      <c r="BV131" s="41"/>
    </row>
    <row r="132" spans="1:74">
      <c r="A132" s="41"/>
      <c r="B132" s="57"/>
      <c r="C132" s="57"/>
      <c r="D132" s="57"/>
      <c r="E132" s="57"/>
      <c r="F132" s="57"/>
      <c r="G132" s="57"/>
      <c r="H132" s="57"/>
      <c r="I132" s="57"/>
      <c r="J132" s="57"/>
      <c r="K132" s="57"/>
      <c r="L132" s="57"/>
      <c r="M132" s="57"/>
      <c r="N132" s="57"/>
      <c r="O132" s="57"/>
      <c r="P132" s="57"/>
      <c r="Q132" s="57"/>
      <c r="R132" s="127"/>
      <c r="S132" s="210"/>
      <c r="T132" s="52"/>
      <c r="U132" s="52"/>
      <c r="V132" s="103"/>
      <c r="W132" s="57"/>
      <c r="X132" s="57"/>
      <c r="Y132" s="57"/>
      <c r="Z132" s="57"/>
      <c r="AA132" s="57"/>
      <c r="AB132" s="57"/>
      <c r="AC132" s="57"/>
      <c r="AD132" s="57"/>
      <c r="AE132" s="57"/>
      <c r="AF132" s="57"/>
      <c r="AG132" s="57"/>
      <c r="AH132" s="57"/>
      <c r="AI132" s="57"/>
      <c r="AJ132" s="57"/>
      <c r="AK132" s="57"/>
      <c r="AL132" s="57"/>
      <c r="AM132" s="57"/>
      <c r="AN132" s="41"/>
      <c r="AO132" s="41"/>
      <c r="AP132" s="41"/>
      <c r="AQ132" s="41"/>
      <c r="AR132" s="41"/>
      <c r="AS132" s="41"/>
      <c r="AT132" s="41"/>
      <c r="AU132" s="41"/>
      <c r="AV132" s="41"/>
      <c r="AW132" s="41"/>
      <c r="AX132" s="41"/>
      <c r="AY132" s="41"/>
      <c r="AZ132" s="41"/>
      <c r="BA132" s="41"/>
      <c r="BB132" s="41"/>
      <c r="BC132" s="41"/>
      <c r="BD132" s="41"/>
      <c r="BE132" s="41"/>
      <c r="BF132" s="41"/>
      <c r="BG132" s="41"/>
      <c r="BH132" s="41"/>
      <c r="BI132" s="41"/>
      <c r="BJ132" s="41"/>
      <c r="BK132" s="41"/>
      <c r="BL132" s="41"/>
      <c r="BM132" s="41"/>
      <c r="BN132" s="41"/>
      <c r="BO132" s="41"/>
      <c r="BP132" s="41"/>
      <c r="BQ132" s="41"/>
      <c r="BR132" s="41"/>
      <c r="BS132" s="41"/>
      <c r="BT132" s="41"/>
      <c r="BU132" s="41"/>
      <c r="BV132" s="41"/>
    </row>
    <row r="133" spans="1:74">
      <c r="A133" s="41"/>
      <c r="B133" s="57"/>
      <c r="C133" s="57"/>
      <c r="D133" s="57"/>
      <c r="E133" s="57"/>
      <c r="F133" s="57"/>
      <c r="G133" s="57"/>
      <c r="H133" s="57"/>
      <c r="I133" s="57"/>
      <c r="J133" s="57"/>
      <c r="K133" s="57"/>
      <c r="L133" s="57"/>
      <c r="M133" s="57"/>
      <c r="N133" s="57"/>
      <c r="O133" s="57"/>
      <c r="P133" s="57"/>
      <c r="Q133" s="57"/>
      <c r="R133" s="127"/>
      <c r="S133" s="210"/>
      <c r="T133" s="52"/>
      <c r="U133" s="52"/>
      <c r="V133" s="103"/>
      <c r="W133" s="57"/>
      <c r="X133" s="57"/>
      <c r="Y133" s="57"/>
      <c r="Z133" s="57"/>
      <c r="AA133" s="57"/>
      <c r="AB133" s="57"/>
      <c r="AC133" s="57"/>
      <c r="AD133" s="57"/>
      <c r="AE133" s="57"/>
      <c r="AF133" s="57"/>
      <c r="AG133" s="57"/>
      <c r="AH133" s="57"/>
      <c r="AI133" s="57"/>
      <c r="AJ133" s="57"/>
      <c r="AK133" s="57"/>
      <c r="AL133" s="57"/>
      <c r="AM133" s="57"/>
      <c r="AN133" s="41"/>
      <c r="AO133" s="41"/>
      <c r="AP133" s="41"/>
      <c r="AQ133" s="41"/>
      <c r="AR133" s="41"/>
      <c r="AS133" s="41"/>
      <c r="AT133" s="41"/>
      <c r="AU133" s="41"/>
      <c r="AV133" s="41"/>
      <c r="AW133" s="41"/>
      <c r="AX133" s="41"/>
      <c r="AY133" s="41"/>
      <c r="AZ133" s="41"/>
      <c r="BA133" s="41"/>
      <c r="BB133" s="41"/>
      <c r="BC133" s="41"/>
      <c r="BD133" s="41"/>
      <c r="BE133" s="41"/>
      <c r="BF133" s="41"/>
      <c r="BG133" s="41"/>
      <c r="BH133" s="41"/>
      <c r="BI133" s="41"/>
      <c r="BJ133" s="41"/>
      <c r="BK133" s="41"/>
      <c r="BL133" s="41"/>
      <c r="BM133" s="41"/>
      <c r="BN133" s="41"/>
      <c r="BO133" s="41"/>
      <c r="BP133" s="41"/>
      <c r="BQ133" s="41"/>
      <c r="BR133" s="41"/>
      <c r="BS133" s="41"/>
      <c r="BT133" s="41"/>
      <c r="BU133" s="41"/>
      <c r="BV133" s="41"/>
    </row>
    <row r="134" spans="1:74">
      <c r="A134" s="41"/>
      <c r="B134" s="57"/>
      <c r="C134" s="57"/>
      <c r="D134" s="57"/>
      <c r="E134" s="57"/>
      <c r="F134" s="57"/>
      <c r="G134" s="57"/>
      <c r="H134" s="57"/>
      <c r="I134" s="57"/>
      <c r="J134" s="57"/>
      <c r="K134" s="57"/>
      <c r="L134" s="57"/>
      <c r="M134" s="57"/>
      <c r="N134" s="57"/>
      <c r="O134" s="57"/>
      <c r="P134" s="57"/>
      <c r="Q134" s="57"/>
      <c r="R134" s="127"/>
      <c r="S134" s="210"/>
      <c r="T134" s="52"/>
      <c r="U134" s="52"/>
      <c r="V134" s="103"/>
      <c r="W134" s="57"/>
      <c r="X134" s="57"/>
      <c r="Y134" s="57"/>
      <c r="Z134" s="57"/>
      <c r="AA134" s="57"/>
      <c r="AB134" s="57"/>
      <c r="AC134" s="57"/>
      <c r="AD134" s="57"/>
      <c r="AE134" s="57"/>
      <c r="AF134" s="57"/>
      <c r="AG134" s="57"/>
      <c r="AH134" s="57"/>
      <c r="AI134" s="57"/>
      <c r="AJ134" s="57"/>
      <c r="AK134" s="57"/>
      <c r="AL134" s="57"/>
      <c r="AM134" s="57"/>
      <c r="AN134" s="41"/>
      <c r="AO134" s="41"/>
      <c r="AP134" s="41"/>
      <c r="AQ134" s="41"/>
      <c r="AR134" s="41"/>
      <c r="AS134" s="41"/>
      <c r="AT134" s="41"/>
      <c r="AU134" s="41"/>
      <c r="AV134" s="41"/>
      <c r="AW134" s="41"/>
      <c r="AX134" s="41"/>
      <c r="AY134" s="41"/>
      <c r="AZ134" s="41"/>
      <c r="BA134" s="41"/>
      <c r="BB134" s="41"/>
      <c r="BC134" s="41"/>
      <c r="BD134" s="41"/>
      <c r="BE134" s="41"/>
      <c r="BF134" s="41"/>
      <c r="BG134" s="41"/>
      <c r="BH134" s="41"/>
      <c r="BI134" s="41"/>
      <c r="BJ134" s="41"/>
      <c r="BK134" s="41"/>
      <c r="BL134" s="41"/>
      <c r="BM134" s="41"/>
      <c r="BN134" s="41"/>
      <c r="BO134" s="41"/>
      <c r="BP134" s="41"/>
      <c r="BQ134" s="41"/>
      <c r="BR134" s="41"/>
      <c r="BS134" s="41"/>
      <c r="BT134" s="41"/>
      <c r="BU134" s="41"/>
      <c r="BV134" s="41"/>
    </row>
    <row r="135" spans="1:74">
      <c r="A135" s="41"/>
      <c r="B135" s="57"/>
      <c r="C135" s="57"/>
      <c r="D135" s="57"/>
      <c r="E135" s="57"/>
      <c r="F135" s="57"/>
      <c r="G135" s="57"/>
      <c r="H135" s="57"/>
      <c r="I135" s="57"/>
      <c r="J135" s="57"/>
      <c r="K135" s="57"/>
      <c r="L135" s="57"/>
      <c r="M135" s="57"/>
      <c r="N135" s="57"/>
      <c r="O135" s="57"/>
      <c r="P135" s="57"/>
      <c r="Q135" s="57"/>
      <c r="R135" s="127"/>
      <c r="S135" s="210"/>
      <c r="T135" s="52"/>
      <c r="U135" s="52"/>
      <c r="V135" s="103"/>
      <c r="W135" s="57"/>
      <c r="X135" s="57"/>
      <c r="Y135" s="57"/>
      <c r="Z135" s="57"/>
      <c r="AA135" s="57"/>
      <c r="AB135" s="57"/>
      <c r="AC135" s="57"/>
      <c r="AD135" s="57"/>
      <c r="AE135" s="57"/>
      <c r="AF135" s="57"/>
      <c r="AG135" s="57"/>
      <c r="AH135" s="57"/>
      <c r="AI135" s="57"/>
      <c r="AJ135" s="57"/>
      <c r="AK135" s="57"/>
      <c r="AL135" s="57"/>
      <c r="AM135" s="57"/>
      <c r="AN135" s="41"/>
      <c r="AO135" s="41"/>
      <c r="AP135" s="41"/>
      <c r="AQ135" s="41"/>
      <c r="AR135" s="41"/>
      <c r="AS135" s="41"/>
      <c r="AT135" s="41"/>
      <c r="AU135" s="41"/>
      <c r="AV135" s="41"/>
      <c r="AW135" s="41"/>
      <c r="AX135" s="41"/>
      <c r="AY135" s="41"/>
      <c r="AZ135" s="41"/>
      <c r="BA135" s="41"/>
      <c r="BB135" s="41"/>
      <c r="BC135" s="41"/>
      <c r="BD135" s="41"/>
      <c r="BE135" s="41"/>
      <c r="BF135" s="41"/>
      <c r="BG135" s="41"/>
      <c r="BH135" s="41"/>
      <c r="BI135" s="41"/>
      <c r="BJ135" s="41"/>
      <c r="BK135" s="41"/>
      <c r="BL135" s="41"/>
      <c r="BM135" s="41"/>
      <c r="BN135" s="41"/>
      <c r="BO135" s="41"/>
      <c r="BP135" s="41"/>
      <c r="BQ135" s="41"/>
      <c r="BR135" s="41"/>
      <c r="BS135" s="41"/>
      <c r="BT135" s="41"/>
      <c r="BU135" s="41"/>
      <c r="BV135" s="41"/>
    </row>
    <row r="136" spans="1:74">
      <c r="A136" s="41"/>
      <c r="B136" s="57"/>
      <c r="C136" s="57"/>
      <c r="D136" s="57"/>
      <c r="E136" s="57"/>
      <c r="F136" s="57"/>
      <c r="G136" s="57"/>
      <c r="H136" s="57"/>
      <c r="I136" s="57"/>
      <c r="J136" s="57"/>
      <c r="K136" s="57"/>
      <c r="L136" s="57"/>
      <c r="M136" s="57"/>
      <c r="N136" s="57"/>
      <c r="O136" s="57"/>
      <c r="P136" s="57"/>
      <c r="Q136" s="57"/>
      <c r="R136" s="127"/>
      <c r="S136" s="210"/>
      <c r="T136" s="52"/>
      <c r="U136" s="52"/>
      <c r="V136" s="103"/>
      <c r="W136" s="57"/>
      <c r="X136" s="57"/>
      <c r="Y136" s="57"/>
      <c r="Z136" s="57"/>
      <c r="AA136" s="57"/>
      <c r="AB136" s="57"/>
      <c r="AC136" s="57"/>
      <c r="AD136" s="57"/>
      <c r="AE136" s="57"/>
      <c r="AF136" s="57"/>
      <c r="AG136" s="57"/>
      <c r="AH136" s="57"/>
      <c r="AI136" s="57"/>
      <c r="AJ136" s="57"/>
      <c r="AK136" s="57"/>
      <c r="AL136" s="57"/>
      <c r="AM136" s="57"/>
      <c r="AN136" s="41"/>
      <c r="AO136" s="41"/>
      <c r="AP136" s="41"/>
      <c r="AQ136" s="41"/>
      <c r="AR136" s="41"/>
      <c r="AS136" s="41"/>
      <c r="AT136" s="41"/>
      <c r="AU136" s="41"/>
      <c r="AV136" s="41"/>
      <c r="AW136" s="41"/>
      <c r="AX136" s="41"/>
      <c r="AY136" s="41"/>
      <c r="AZ136" s="41"/>
      <c r="BA136" s="41"/>
      <c r="BB136" s="41"/>
      <c r="BC136" s="41"/>
      <c r="BD136" s="41"/>
      <c r="BE136" s="41"/>
      <c r="BF136" s="41"/>
      <c r="BG136" s="41"/>
      <c r="BH136" s="41"/>
      <c r="BI136" s="41"/>
      <c r="BJ136" s="41"/>
      <c r="BK136" s="41"/>
      <c r="BL136" s="41"/>
      <c r="BM136" s="41"/>
      <c r="BN136" s="41"/>
      <c r="BO136" s="41"/>
      <c r="BP136" s="41"/>
      <c r="BQ136" s="41"/>
      <c r="BR136" s="41"/>
      <c r="BS136" s="41"/>
      <c r="BT136" s="41"/>
      <c r="BU136" s="41"/>
      <c r="BV136" s="41"/>
    </row>
    <row r="137" spans="1:74">
      <c r="A137" s="41"/>
      <c r="B137" s="57"/>
      <c r="C137" s="57"/>
      <c r="D137" s="57"/>
      <c r="E137" s="57"/>
      <c r="F137" s="57"/>
      <c r="G137" s="57"/>
      <c r="H137" s="57"/>
      <c r="I137" s="57"/>
      <c r="J137" s="57"/>
      <c r="K137" s="57"/>
      <c r="L137" s="57"/>
      <c r="M137" s="57"/>
      <c r="N137" s="57"/>
      <c r="O137" s="57"/>
      <c r="P137" s="57"/>
      <c r="Q137" s="57"/>
      <c r="R137" s="127"/>
      <c r="S137" s="210"/>
      <c r="T137" s="52"/>
      <c r="U137" s="52"/>
      <c r="V137" s="103"/>
      <c r="W137" s="57"/>
      <c r="X137" s="57"/>
      <c r="Y137" s="57"/>
      <c r="Z137" s="57"/>
      <c r="AA137" s="57"/>
      <c r="AB137" s="57"/>
      <c r="AC137" s="57"/>
      <c r="AD137" s="57"/>
      <c r="AE137" s="57"/>
      <c r="AF137" s="57"/>
      <c r="AG137" s="57"/>
      <c r="AH137" s="57"/>
      <c r="AI137" s="57"/>
      <c r="AJ137" s="57"/>
      <c r="AK137" s="57"/>
      <c r="AL137" s="57"/>
      <c r="AM137" s="57"/>
      <c r="AN137" s="41"/>
      <c r="AO137" s="41"/>
      <c r="AP137" s="41"/>
      <c r="AQ137" s="41"/>
      <c r="AR137" s="41"/>
      <c r="AS137" s="41"/>
      <c r="AT137" s="41"/>
      <c r="AU137" s="41"/>
      <c r="AV137" s="41"/>
      <c r="AW137" s="41"/>
      <c r="AX137" s="41"/>
      <c r="AY137" s="41"/>
      <c r="AZ137" s="41"/>
      <c r="BA137" s="41"/>
      <c r="BB137" s="41"/>
      <c r="BC137" s="41"/>
      <c r="BD137" s="41"/>
      <c r="BE137" s="41"/>
      <c r="BF137" s="41"/>
      <c r="BG137" s="41"/>
      <c r="BH137" s="41"/>
      <c r="BI137" s="41"/>
      <c r="BJ137" s="41"/>
      <c r="BK137" s="41"/>
      <c r="BL137" s="41"/>
      <c r="BM137" s="41"/>
      <c r="BN137" s="41"/>
      <c r="BO137" s="41"/>
      <c r="BP137" s="41"/>
      <c r="BQ137" s="41"/>
      <c r="BR137" s="41"/>
      <c r="BS137" s="41"/>
      <c r="BT137" s="41"/>
      <c r="BU137" s="41"/>
      <c r="BV137" s="41"/>
    </row>
    <row r="138" spans="1:74">
      <c r="A138" s="41"/>
      <c r="B138" s="57"/>
      <c r="C138" s="57"/>
      <c r="D138" s="57"/>
      <c r="E138" s="57"/>
      <c r="F138" s="57"/>
      <c r="G138" s="57"/>
      <c r="H138" s="57"/>
      <c r="I138" s="57"/>
      <c r="J138" s="57"/>
      <c r="K138" s="57"/>
      <c r="L138" s="57"/>
      <c r="M138" s="57"/>
      <c r="N138" s="57"/>
      <c r="O138" s="57"/>
      <c r="P138" s="57"/>
      <c r="Q138" s="57"/>
      <c r="R138" s="127"/>
      <c r="S138" s="210"/>
      <c r="T138" s="52"/>
      <c r="U138" s="52"/>
      <c r="V138" s="103"/>
      <c r="W138" s="57"/>
      <c r="X138" s="57"/>
      <c r="Y138" s="57"/>
      <c r="Z138" s="57"/>
      <c r="AA138" s="57"/>
      <c r="AB138" s="57"/>
      <c r="AC138" s="57"/>
      <c r="AD138" s="57"/>
      <c r="AE138" s="57"/>
      <c r="AF138" s="57"/>
      <c r="AG138" s="57"/>
      <c r="AH138" s="57"/>
      <c r="AI138" s="57"/>
      <c r="AJ138" s="57"/>
      <c r="AK138" s="57"/>
      <c r="AL138" s="57"/>
      <c r="AM138" s="57"/>
      <c r="AN138" s="41"/>
      <c r="AO138" s="41"/>
      <c r="AP138" s="41"/>
      <c r="AQ138" s="41"/>
      <c r="AR138" s="41"/>
      <c r="AS138" s="41"/>
      <c r="AT138" s="41"/>
      <c r="AU138" s="41"/>
      <c r="AV138" s="41"/>
      <c r="AW138" s="41"/>
      <c r="AX138" s="41"/>
      <c r="AY138" s="41"/>
      <c r="AZ138" s="41"/>
      <c r="BA138" s="41"/>
      <c r="BB138" s="41"/>
      <c r="BC138" s="41"/>
      <c r="BD138" s="41"/>
      <c r="BE138" s="41"/>
      <c r="BF138" s="41"/>
      <c r="BG138" s="41"/>
      <c r="BH138" s="41"/>
      <c r="BI138" s="41"/>
      <c r="BJ138" s="41"/>
      <c r="BK138" s="41"/>
      <c r="BL138" s="41"/>
      <c r="BM138" s="41"/>
      <c r="BN138" s="41"/>
      <c r="BO138" s="41"/>
      <c r="BP138" s="41"/>
      <c r="BQ138" s="41"/>
      <c r="BR138" s="41"/>
      <c r="BS138" s="41"/>
      <c r="BT138" s="41"/>
      <c r="BU138" s="41"/>
      <c r="BV138" s="41"/>
    </row>
    <row r="139" spans="1:74">
      <c r="A139" s="41"/>
      <c r="B139" s="57"/>
      <c r="C139" s="57"/>
      <c r="D139" s="57"/>
      <c r="E139" s="57"/>
      <c r="F139" s="57"/>
      <c r="G139" s="57"/>
      <c r="H139" s="57"/>
      <c r="I139" s="57"/>
      <c r="J139" s="57"/>
      <c r="K139" s="57"/>
      <c r="L139" s="57"/>
      <c r="M139" s="57"/>
      <c r="N139" s="57"/>
      <c r="O139" s="57"/>
      <c r="P139" s="57"/>
      <c r="Q139" s="57"/>
      <c r="R139" s="127"/>
      <c r="S139" s="210"/>
      <c r="T139" s="52"/>
      <c r="U139" s="52"/>
      <c r="V139" s="103"/>
      <c r="W139" s="57"/>
      <c r="X139" s="57"/>
      <c r="Y139" s="57"/>
      <c r="Z139" s="57"/>
      <c r="AA139" s="57"/>
      <c r="AB139" s="57"/>
      <c r="AC139" s="57"/>
      <c r="AD139" s="57"/>
      <c r="AE139" s="57"/>
      <c r="AF139" s="57"/>
      <c r="AG139" s="57"/>
      <c r="AH139" s="57"/>
      <c r="AI139" s="57"/>
      <c r="AJ139" s="57"/>
      <c r="AK139" s="57"/>
      <c r="AL139" s="57"/>
      <c r="AM139" s="57"/>
      <c r="AN139" s="41"/>
      <c r="AO139" s="41"/>
      <c r="AP139" s="41"/>
      <c r="AQ139" s="41"/>
      <c r="AR139" s="41"/>
      <c r="AS139" s="41"/>
      <c r="AT139" s="41"/>
      <c r="AU139" s="41"/>
      <c r="AV139" s="41"/>
      <c r="AW139" s="41"/>
      <c r="AX139" s="41"/>
      <c r="AY139" s="41"/>
      <c r="AZ139" s="41"/>
      <c r="BA139" s="41"/>
      <c r="BB139" s="41"/>
      <c r="BC139" s="41"/>
      <c r="BD139" s="41"/>
      <c r="BE139" s="41"/>
      <c r="BF139" s="41"/>
      <c r="BG139" s="41"/>
      <c r="BH139" s="41"/>
      <c r="BI139" s="41"/>
      <c r="BJ139" s="41"/>
      <c r="BK139" s="41"/>
      <c r="BL139" s="41"/>
      <c r="BM139" s="41"/>
      <c r="BN139" s="41"/>
      <c r="BO139" s="41"/>
      <c r="BP139" s="41"/>
      <c r="BQ139" s="41"/>
      <c r="BR139" s="41"/>
      <c r="BS139" s="41"/>
      <c r="BT139" s="41"/>
      <c r="BU139" s="41"/>
      <c r="BV139" s="41"/>
    </row>
    <row r="140" spans="1:74">
      <c r="A140" s="41"/>
      <c r="B140" s="57"/>
      <c r="C140" s="57"/>
      <c r="D140" s="57"/>
      <c r="E140" s="57"/>
      <c r="F140" s="57"/>
      <c r="G140" s="57"/>
      <c r="H140" s="57"/>
      <c r="I140" s="57"/>
      <c r="J140" s="57"/>
      <c r="K140" s="57"/>
      <c r="L140" s="57"/>
      <c r="M140" s="57"/>
      <c r="N140" s="57"/>
      <c r="O140" s="57"/>
      <c r="P140" s="57"/>
      <c r="Q140" s="57"/>
      <c r="R140" s="127"/>
      <c r="S140" s="210"/>
      <c r="T140" s="52"/>
      <c r="U140" s="52"/>
      <c r="V140" s="103"/>
      <c r="W140" s="57"/>
      <c r="X140" s="57"/>
      <c r="Y140" s="57"/>
      <c r="Z140" s="57"/>
      <c r="AA140" s="57"/>
      <c r="AB140" s="57"/>
      <c r="AC140" s="57"/>
      <c r="AD140" s="57"/>
      <c r="AE140" s="57"/>
      <c r="AF140" s="57"/>
      <c r="AG140" s="57"/>
      <c r="AH140" s="57"/>
      <c r="AI140" s="57"/>
      <c r="AJ140" s="57"/>
      <c r="AK140" s="57"/>
      <c r="AL140" s="57"/>
      <c r="AM140" s="57"/>
      <c r="AN140" s="41"/>
      <c r="AO140" s="41"/>
      <c r="AP140" s="41"/>
      <c r="AQ140" s="41"/>
      <c r="AR140" s="41"/>
      <c r="AS140" s="41"/>
      <c r="AT140" s="41"/>
      <c r="AU140" s="41"/>
      <c r="AV140" s="41"/>
      <c r="AW140" s="41"/>
      <c r="AX140" s="41"/>
      <c r="AY140" s="41"/>
      <c r="AZ140" s="41"/>
      <c r="BA140" s="41"/>
      <c r="BB140" s="41"/>
      <c r="BC140" s="41"/>
      <c r="BD140" s="41"/>
      <c r="BE140" s="41"/>
      <c r="BF140" s="41"/>
      <c r="BG140" s="41"/>
      <c r="BH140" s="41"/>
      <c r="BI140" s="41"/>
      <c r="BJ140" s="41"/>
      <c r="BK140" s="41"/>
      <c r="BL140" s="41"/>
      <c r="BM140" s="41"/>
      <c r="BN140" s="41"/>
      <c r="BO140" s="41"/>
      <c r="BP140" s="41"/>
      <c r="BQ140" s="41"/>
      <c r="BR140" s="41"/>
      <c r="BS140" s="41"/>
      <c r="BT140" s="41"/>
      <c r="BU140" s="41"/>
      <c r="BV140" s="41"/>
    </row>
    <row r="141" spans="1:74">
      <c r="A141" s="41"/>
      <c r="B141" s="57"/>
      <c r="C141" s="57"/>
      <c r="D141" s="57"/>
      <c r="E141" s="57"/>
      <c r="F141" s="57"/>
      <c r="G141" s="57"/>
      <c r="H141" s="57"/>
      <c r="I141" s="57"/>
      <c r="J141" s="57"/>
      <c r="K141" s="57"/>
      <c r="L141" s="57"/>
      <c r="M141" s="57"/>
      <c r="N141" s="57"/>
      <c r="O141" s="57"/>
      <c r="P141" s="57"/>
      <c r="Q141" s="57"/>
      <c r="R141" s="127"/>
      <c r="S141" s="210"/>
      <c r="T141" s="52"/>
      <c r="U141" s="52"/>
      <c r="V141" s="103"/>
      <c r="W141" s="57"/>
      <c r="X141" s="57"/>
      <c r="Y141" s="57"/>
      <c r="Z141" s="57"/>
      <c r="AA141" s="57"/>
      <c r="AB141" s="57"/>
      <c r="AC141" s="57"/>
      <c r="AD141" s="57"/>
      <c r="AE141" s="57"/>
      <c r="AF141" s="57"/>
      <c r="AG141" s="57"/>
      <c r="AH141" s="57"/>
      <c r="AI141" s="57"/>
      <c r="AJ141" s="57"/>
      <c r="AK141" s="57"/>
      <c r="AL141" s="57"/>
      <c r="AM141" s="57"/>
      <c r="AN141" s="41"/>
      <c r="AO141" s="41"/>
      <c r="AP141" s="41"/>
      <c r="AQ141" s="41"/>
      <c r="AR141" s="41"/>
      <c r="AS141" s="41"/>
      <c r="AT141" s="41"/>
      <c r="AU141" s="41"/>
      <c r="AV141" s="41"/>
      <c r="AW141" s="41"/>
      <c r="AX141" s="41"/>
      <c r="AY141" s="41"/>
      <c r="AZ141" s="41"/>
      <c r="BA141" s="41"/>
      <c r="BB141" s="41"/>
    </row>
    <row r="142" spans="1:74">
      <c r="A142" s="41"/>
      <c r="B142" s="57"/>
      <c r="C142" s="57"/>
      <c r="D142" s="57"/>
      <c r="E142" s="57"/>
      <c r="F142" s="57"/>
      <c r="G142" s="57"/>
      <c r="H142" s="57"/>
      <c r="I142" s="57"/>
      <c r="J142" s="57"/>
      <c r="K142" s="57"/>
      <c r="L142" s="57"/>
      <c r="M142" s="57"/>
      <c r="N142" s="57"/>
      <c r="O142" s="57"/>
      <c r="P142" s="57"/>
      <c r="Q142" s="57"/>
      <c r="R142" s="127"/>
      <c r="S142" s="210"/>
      <c r="T142" s="52"/>
      <c r="U142" s="52"/>
      <c r="V142" s="103"/>
      <c r="W142" s="57"/>
      <c r="X142" s="57"/>
      <c r="Y142" s="57"/>
      <c r="Z142" s="57"/>
      <c r="AA142" s="57"/>
      <c r="AB142" s="57"/>
      <c r="AC142" s="57"/>
      <c r="AD142" s="57"/>
      <c r="AE142" s="57"/>
      <c r="AF142" s="57"/>
      <c r="AG142" s="57"/>
      <c r="AH142" s="57"/>
      <c r="AI142" s="57"/>
      <c r="AJ142" s="57"/>
      <c r="AK142" s="57"/>
      <c r="AL142" s="57"/>
      <c r="AM142" s="57"/>
      <c r="AN142" s="41"/>
      <c r="AO142" s="41"/>
      <c r="AP142" s="41"/>
      <c r="AQ142" s="41"/>
      <c r="AR142" s="41"/>
      <c r="AS142" s="41"/>
      <c r="AT142" s="41"/>
      <c r="AU142" s="41"/>
      <c r="AV142" s="41"/>
      <c r="AW142" s="41"/>
      <c r="AX142" s="41"/>
      <c r="AY142" s="41"/>
      <c r="AZ142" s="41"/>
      <c r="BA142" s="41"/>
      <c r="BB142" s="41"/>
    </row>
    <row r="143" spans="1:74">
      <c r="A143" s="41"/>
      <c r="B143" s="57"/>
      <c r="C143" s="57"/>
      <c r="D143" s="57"/>
      <c r="E143" s="57"/>
      <c r="F143" s="57"/>
      <c r="G143" s="57"/>
      <c r="H143" s="57"/>
      <c r="I143" s="57"/>
      <c r="J143" s="57"/>
      <c r="K143" s="57"/>
      <c r="L143" s="57"/>
      <c r="M143" s="57"/>
      <c r="N143" s="57"/>
      <c r="O143" s="57"/>
      <c r="P143" s="57"/>
      <c r="Q143" s="57"/>
      <c r="R143" s="127"/>
      <c r="S143" s="210"/>
      <c r="T143" s="52"/>
      <c r="U143" s="52"/>
      <c r="V143" s="103"/>
      <c r="W143" s="57"/>
      <c r="X143" s="57"/>
      <c r="Y143" s="57"/>
      <c r="Z143" s="57"/>
      <c r="AA143" s="57"/>
      <c r="AB143" s="57"/>
      <c r="AC143" s="57"/>
      <c r="AD143" s="57"/>
      <c r="AE143" s="57"/>
      <c r="AF143" s="57"/>
      <c r="AG143" s="57"/>
      <c r="AH143" s="57"/>
      <c r="AI143" s="57"/>
      <c r="AJ143" s="57"/>
      <c r="AK143" s="57"/>
      <c r="AL143" s="57"/>
      <c r="AM143" s="57"/>
      <c r="AN143" s="41"/>
      <c r="AO143" s="41"/>
      <c r="AP143" s="41"/>
      <c r="AQ143" s="41"/>
      <c r="AR143" s="41"/>
      <c r="AS143" s="41"/>
      <c r="AT143" s="41"/>
      <c r="AU143" s="41"/>
      <c r="AV143" s="41"/>
      <c r="AW143" s="41"/>
      <c r="AX143" s="41"/>
      <c r="AY143" s="41"/>
      <c r="AZ143" s="41"/>
      <c r="BA143" s="41"/>
      <c r="BB143" s="41"/>
    </row>
    <row r="144" spans="1:74">
      <c r="A144" s="41"/>
      <c r="B144" s="57"/>
      <c r="C144" s="57"/>
      <c r="D144" s="57"/>
      <c r="E144" s="57"/>
      <c r="F144" s="57"/>
      <c r="G144" s="57"/>
      <c r="H144" s="57"/>
      <c r="I144" s="57"/>
      <c r="J144" s="57"/>
      <c r="K144" s="57"/>
      <c r="L144" s="57"/>
      <c r="M144" s="57"/>
      <c r="N144" s="57"/>
      <c r="O144" s="57"/>
      <c r="P144" s="57"/>
      <c r="Q144" s="57"/>
      <c r="R144" s="127"/>
      <c r="S144" s="210"/>
      <c r="T144" s="52"/>
      <c r="U144" s="52"/>
      <c r="V144" s="103"/>
      <c r="W144" s="57"/>
      <c r="X144" s="57"/>
      <c r="Y144" s="57"/>
      <c r="Z144" s="57"/>
      <c r="AA144" s="57"/>
      <c r="AB144" s="57"/>
      <c r="AC144" s="57"/>
      <c r="AD144" s="57"/>
      <c r="AE144" s="57"/>
      <c r="AF144" s="57"/>
      <c r="AG144" s="57"/>
      <c r="AH144" s="57"/>
      <c r="AI144" s="57"/>
      <c r="AJ144" s="57"/>
      <c r="AK144" s="57"/>
      <c r="AL144" s="57"/>
      <c r="AM144" s="57"/>
      <c r="AN144" s="41"/>
      <c r="AO144" s="41"/>
      <c r="AP144" s="41"/>
      <c r="AQ144" s="41"/>
      <c r="AR144" s="41"/>
      <c r="AS144" s="41"/>
      <c r="AT144" s="41"/>
      <c r="AU144" s="41"/>
      <c r="AV144" s="41"/>
      <c r="AW144" s="41"/>
      <c r="AX144" s="41"/>
      <c r="AY144" s="41"/>
      <c r="AZ144" s="41"/>
      <c r="BA144" s="41"/>
      <c r="BB144" s="41"/>
    </row>
    <row r="145" spans="1:54">
      <c r="A145" s="41"/>
      <c r="B145" s="57"/>
      <c r="C145" s="57"/>
      <c r="D145" s="57"/>
      <c r="E145" s="57"/>
      <c r="F145" s="57"/>
      <c r="G145" s="57"/>
      <c r="H145" s="57"/>
      <c r="I145" s="57"/>
      <c r="J145" s="57"/>
      <c r="K145" s="57"/>
      <c r="L145" s="57"/>
      <c r="M145" s="57"/>
      <c r="N145" s="57"/>
      <c r="O145" s="57"/>
      <c r="P145" s="57"/>
      <c r="Q145" s="57"/>
      <c r="R145" s="127"/>
      <c r="S145" s="210"/>
      <c r="T145" s="52"/>
      <c r="U145" s="52"/>
      <c r="V145" s="103"/>
      <c r="W145" s="57"/>
      <c r="X145" s="57"/>
      <c r="Y145" s="57"/>
      <c r="Z145" s="57"/>
      <c r="AA145" s="57"/>
      <c r="AB145" s="57"/>
      <c r="AC145" s="57"/>
      <c r="AD145" s="57"/>
      <c r="AE145" s="57"/>
      <c r="AF145" s="57"/>
      <c r="AG145" s="57"/>
      <c r="AH145" s="57"/>
      <c r="AI145" s="57"/>
      <c r="AJ145" s="57"/>
      <c r="AK145" s="57"/>
      <c r="AL145" s="57"/>
      <c r="AM145" s="57"/>
      <c r="AN145" s="41"/>
      <c r="AO145" s="41"/>
      <c r="AP145" s="41"/>
      <c r="AQ145" s="41"/>
      <c r="AR145" s="41"/>
      <c r="AS145" s="41"/>
      <c r="AT145" s="41"/>
      <c r="AU145" s="41"/>
      <c r="AV145" s="41"/>
      <c r="AW145" s="41"/>
      <c r="AX145" s="41"/>
      <c r="AY145" s="41"/>
      <c r="AZ145" s="41"/>
      <c r="BA145" s="41"/>
      <c r="BB145" s="41"/>
    </row>
    <row r="146" spans="1:54">
      <c r="A146" s="41"/>
      <c r="B146" s="57"/>
      <c r="C146" s="57"/>
      <c r="D146" s="57"/>
      <c r="E146" s="57"/>
      <c r="F146" s="57"/>
      <c r="G146" s="57"/>
      <c r="H146" s="57"/>
      <c r="I146" s="57"/>
      <c r="J146" s="57"/>
      <c r="K146" s="57"/>
      <c r="L146" s="57"/>
      <c r="M146" s="57"/>
      <c r="N146" s="57"/>
      <c r="O146" s="57"/>
      <c r="P146" s="57"/>
      <c r="Q146" s="57"/>
      <c r="R146" s="127"/>
      <c r="S146" s="210"/>
      <c r="T146" s="52"/>
      <c r="U146" s="52"/>
      <c r="V146" s="103"/>
      <c r="W146" s="57"/>
      <c r="X146" s="57"/>
      <c r="Y146" s="57"/>
      <c r="Z146" s="57"/>
      <c r="AA146" s="57"/>
      <c r="AB146" s="57"/>
      <c r="AC146" s="57"/>
      <c r="AD146" s="57"/>
      <c r="AE146" s="57"/>
      <c r="AF146" s="57"/>
      <c r="AG146" s="57"/>
      <c r="AH146" s="57"/>
      <c r="AI146" s="57"/>
      <c r="AJ146" s="57"/>
      <c r="AK146" s="57"/>
      <c r="AL146" s="57"/>
      <c r="AM146" s="57"/>
      <c r="AN146" s="41"/>
      <c r="AO146" s="41"/>
      <c r="AP146" s="41"/>
      <c r="AQ146" s="41"/>
      <c r="AR146" s="41"/>
      <c r="AS146" s="41"/>
      <c r="AT146" s="41"/>
      <c r="AU146" s="41"/>
      <c r="AV146" s="41"/>
      <c r="AW146" s="41"/>
      <c r="AX146" s="41"/>
      <c r="AY146" s="41"/>
      <c r="AZ146" s="41"/>
      <c r="BA146" s="41"/>
      <c r="BB146" s="41"/>
    </row>
    <row r="147" spans="1:54">
      <c r="A147" s="41"/>
      <c r="B147" s="57"/>
      <c r="C147" s="57"/>
      <c r="D147" s="57"/>
      <c r="E147" s="57"/>
      <c r="F147" s="57"/>
      <c r="G147" s="57"/>
      <c r="H147" s="57"/>
      <c r="I147" s="57"/>
      <c r="J147" s="57"/>
      <c r="K147" s="57"/>
      <c r="L147" s="57"/>
      <c r="M147" s="57"/>
      <c r="N147" s="57"/>
      <c r="O147" s="57"/>
      <c r="P147" s="57"/>
      <c r="Q147" s="57"/>
      <c r="R147" s="127"/>
      <c r="S147" s="210"/>
      <c r="T147" s="52"/>
      <c r="U147" s="52"/>
      <c r="V147" s="103"/>
      <c r="W147" s="57"/>
      <c r="X147" s="57"/>
      <c r="Y147" s="57"/>
      <c r="Z147" s="57"/>
      <c r="AA147" s="57"/>
      <c r="AB147" s="57"/>
      <c r="AC147" s="57"/>
      <c r="AD147" s="57"/>
      <c r="AE147" s="57"/>
      <c r="AF147" s="57"/>
      <c r="AG147" s="57"/>
      <c r="AH147" s="57"/>
      <c r="AI147" s="57"/>
      <c r="AJ147" s="57"/>
      <c r="AK147" s="57"/>
      <c r="AL147" s="57"/>
      <c r="AM147" s="57"/>
      <c r="AN147" s="41"/>
      <c r="AO147" s="41"/>
      <c r="AP147" s="41"/>
      <c r="AQ147" s="41"/>
      <c r="AR147" s="41"/>
      <c r="AS147" s="41"/>
      <c r="AT147" s="41"/>
      <c r="AU147" s="41"/>
      <c r="AV147" s="41"/>
      <c r="AW147" s="41"/>
      <c r="AX147" s="41"/>
      <c r="AY147" s="41"/>
      <c r="AZ147" s="41"/>
      <c r="BA147" s="41"/>
      <c r="BB147" s="41"/>
    </row>
    <row r="148" spans="1:54">
      <c r="A148" s="41"/>
      <c r="B148" s="57"/>
      <c r="C148" s="57"/>
      <c r="D148" s="57"/>
      <c r="E148" s="57"/>
      <c r="F148" s="57"/>
      <c r="G148" s="57"/>
      <c r="H148" s="57"/>
      <c r="I148" s="57"/>
      <c r="J148" s="57"/>
      <c r="K148" s="57"/>
      <c r="L148" s="57"/>
      <c r="M148" s="57"/>
      <c r="N148" s="57"/>
      <c r="O148" s="57"/>
      <c r="P148" s="57"/>
      <c r="Q148" s="57"/>
      <c r="R148" s="127"/>
      <c r="S148" s="210"/>
      <c r="T148" s="52"/>
      <c r="U148" s="52"/>
      <c r="V148" s="103"/>
      <c r="W148" s="57"/>
      <c r="X148" s="57"/>
      <c r="Y148" s="57"/>
      <c r="Z148" s="57"/>
      <c r="AA148" s="57"/>
      <c r="AB148" s="57"/>
      <c r="AC148" s="57"/>
      <c r="AD148" s="57"/>
      <c r="AE148" s="57"/>
      <c r="AF148" s="57"/>
      <c r="AG148" s="57"/>
      <c r="AH148" s="57"/>
      <c r="AI148" s="57"/>
      <c r="AJ148" s="57"/>
      <c r="AK148" s="57"/>
      <c r="AL148" s="57"/>
      <c r="AM148" s="57"/>
      <c r="AN148" s="41"/>
      <c r="AO148" s="41"/>
      <c r="AP148" s="41"/>
      <c r="AQ148" s="41"/>
      <c r="AR148" s="41"/>
      <c r="AS148" s="41"/>
      <c r="AT148" s="41"/>
      <c r="AU148" s="41"/>
      <c r="AV148" s="41"/>
      <c r="AW148" s="41"/>
      <c r="AX148" s="41"/>
      <c r="AY148" s="41"/>
      <c r="AZ148" s="41"/>
      <c r="BA148" s="41"/>
      <c r="BB148" s="41"/>
    </row>
    <row r="149" spans="1:54">
      <c r="A149" s="41"/>
      <c r="B149" s="57"/>
      <c r="C149" s="57"/>
      <c r="D149" s="57"/>
      <c r="E149" s="57"/>
      <c r="F149" s="57"/>
      <c r="G149" s="57"/>
      <c r="H149" s="57"/>
      <c r="I149" s="57"/>
      <c r="J149" s="57"/>
      <c r="K149" s="57"/>
      <c r="L149" s="57"/>
      <c r="M149" s="57"/>
      <c r="N149" s="57"/>
      <c r="O149" s="57"/>
      <c r="P149" s="57"/>
      <c r="Q149" s="57"/>
      <c r="R149" s="127"/>
      <c r="S149" s="210"/>
      <c r="T149" s="52"/>
      <c r="U149" s="52"/>
      <c r="V149" s="103"/>
      <c r="W149" s="57"/>
      <c r="X149" s="57"/>
      <c r="Y149" s="57"/>
      <c r="Z149" s="57"/>
      <c r="AA149" s="57"/>
      <c r="AB149" s="57"/>
      <c r="AC149" s="57"/>
      <c r="AD149" s="57"/>
      <c r="AE149" s="57"/>
      <c r="AF149" s="57"/>
      <c r="AG149" s="57"/>
      <c r="AH149" s="57"/>
      <c r="AI149" s="57"/>
      <c r="AJ149" s="57"/>
      <c r="AK149" s="57"/>
      <c r="AL149" s="57"/>
      <c r="AM149" s="57"/>
      <c r="AN149" s="41"/>
      <c r="AO149" s="41"/>
      <c r="AP149" s="41"/>
      <c r="AQ149" s="41"/>
      <c r="AR149" s="41"/>
      <c r="AS149" s="41"/>
      <c r="AT149" s="41"/>
      <c r="AU149" s="41"/>
      <c r="AV149" s="41"/>
      <c r="AW149" s="41"/>
      <c r="AX149" s="41"/>
      <c r="AY149" s="41"/>
      <c r="AZ149" s="41"/>
      <c r="BA149" s="41"/>
      <c r="BB149" s="41"/>
    </row>
    <row r="150" spans="1:54">
      <c r="A150" s="41"/>
      <c r="B150" s="57"/>
      <c r="C150" s="57"/>
      <c r="D150" s="57"/>
      <c r="E150" s="57"/>
      <c r="F150" s="57"/>
      <c r="G150" s="57"/>
      <c r="H150" s="57"/>
      <c r="I150" s="57"/>
      <c r="J150" s="57"/>
      <c r="K150" s="57"/>
      <c r="L150" s="57"/>
      <c r="M150" s="57"/>
      <c r="N150" s="57"/>
      <c r="O150" s="57"/>
      <c r="P150" s="57"/>
      <c r="Q150" s="57"/>
      <c r="R150" s="127"/>
      <c r="S150" s="210"/>
      <c r="T150" s="52"/>
      <c r="U150" s="52"/>
      <c r="V150" s="103"/>
      <c r="W150" s="57"/>
      <c r="X150" s="57"/>
      <c r="Y150" s="57"/>
      <c r="Z150" s="57"/>
      <c r="AA150" s="57"/>
      <c r="AB150" s="57"/>
      <c r="AC150" s="57"/>
      <c r="AD150" s="57"/>
      <c r="AE150" s="57"/>
      <c r="AF150" s="57"/>
      <c r="AG150" s="57"/>
      <c r="AH150" s="57"/>
      <c r="AI150" s="57"/>
      <c r="AJ150" s="57"/>
      <c r="AK150" s="57"/>
      <c r="AL150" s="57"/>
      <c r="AM150" s="57"/>
      <c r="AN150" s="41"/>
      <c r="AO150" s="41"/>
      <c r="AP150" s="41"/>
      <c r="AQ150" s="41"/>
      <c r="AR150" s="41"/>
      <c r="AS150" s="41"/>
      <c r="AT150" s="41"/>
      <c r="AU150" s="41"/>
      <c r="AV150" s="41"/>
      <c r="AW150" s="41"/>
      <c r="AX150" s="41"/>
      <c r="AY150" s="41"/>
      <c r="AZ150" s="41"/>
      <c r="BA150" s="41"/>
      <c r="BB150" s="41"/>
    </row>
  </sheetData>
  <sheetProtection algorithmName="SHA-512" hashValue="WXnPDbtw70Z8NrzYTC1Ms73jvIci7ZYgVcnpF5YyMKlV3gdpqb0bblOJqp7JB2yP+Z6JpMixCbt8EQ02adCpPA==" saltValue="6+F0Yn5RtqK7CzJ9caZ8FA==" spinCount="100000" sheet="1" objects="1" scenarios="1"/>
  <mergeCells count="3">
    <mergeCell ref="A1:A2"/>
    <mergeCell ref="A8:A10"/>
    <mergeCell ref="T1:U8"/>
  </mergeCells>
  <phoneticPr fontId="3" type="noConversion"/>
  <conditionalFormatting sqref="T10:U93">
    <cfRule type="expression" dxfId="197" priority="59">
      <formula>MOD(ROW(),2)=0</formula>
    </cfRule>
    <cfRule type="expression" dxfId="196" priority="60">
      <formula>MOD(ROW(),2)=1</formula>
    </cfRule>
  </conditionalFormatting>
  <conditionalFormatting sqref="V10:V93 S10:S93">
    <cfRule type="expression" dxfId="195" priority="61">
      <formula>MOD(ROW(),2)=0</formula>
    </cfRule>
    <cfRule type="expression" dxfId="194" priority="62">
      <formula>MOD(ROW(),2)=1</formula>
    </cfRule>
  </conditionalFormatting>
  <conditionalFormatting sqref="AM10:AM93 V10:AF85 AI64:AK64 V87:AF93 V86:AC86 AF86 AH65:AK93 AH10:AK63 B10:S93">
    <cfRule type="expression" dxfId="193" priority="63">
      <formula>MOD(ROW(),2)=0</formula>
    </cfRule>
    <cfRule type="expression" dxfId="192" priority="64">
      <formula>MOD(ROW(),2)=1</formula>
    </cfRule>
  </conditionalFormatting>
  <conditionalFormatting sqref="AH64">
    <cfRule type="expression" dxfId="191" priority="13">
      <formula>MOD(ROW(),2)=0</formula>
    </cfRule>
    <cfRule type="expression" dxfId="190" priority="14">
      <formula>MOD(ROW(),2)=1</formula>
    </cfRule>
  </conditionalFormatting>
  <conditionalFormatting sqref="AD86">
    <cfRule type="expression" dxfId="189" priority="11">
      <formula>MOD(ROW(),2)=0</formula>
    </cfRule>
    <cfRule type="expression" dxfId="188" priority="12">
      <formula>MOD(ROW(),2)=1</formula>
    </cfRule>
  </conditionalFormatting>
  <conditionalFormatting sqref="AG10:AG85 AG87:AG93">
    <cfRule type="expression" dxfId="187" priority="9">
      <formula>MOD(ROW(),2)=0</formula>
    </cfRule>
    <cfRule type="expression" dxfId="186" priority="10">
      <formula>MOD(ROW(),2)=1</formula>
    </cfRule>
  </conditionalFormatting>
  <conditionalFormatting sqref="AG86">
    <cfRule type="expression" dxfId="183" priority="3">
      <formula>MOD(ROW(),2)=0</formula>
    </cfRule>
    <cfRule type="expression" dxfId="182" priority="4">
      <formula>MOD(ROW(),2)=1</formula>
    </cfRule>
  </conditionalFormatting>
  <conditionalFormatting sqref="AE86">
    <cfRule type="expression" dxfId="1" priority="1">
      <formula>MOD(ROW(),2)=0</formula>
    </cfRule>
    <cfRule type="expression" dxfId="0" priority="2">
      <formula>MOD(ROW(),2)=1</formula>
    </cfRule>
  </conditionalFormatting>
  <pageMargins left="0.19685039370078741" right="0.19685039370078741" top="0.19685039370078741" bottom="0.19685039370078741" header="0.31496062992125984" footer="0"/>
  <pageSetup paperSize="9" scale="42" fitToWidth="2" fitToHeight="0" orientation="portrait" r:id="rId1"/>
  <headerFooter alignWithMargins="0"/>
  <drawing r:id="rId2"/>
  <legacyDrawing r:id="rId3"/>
  <controls>
    <mc:AlternateContent xmlns:mc="http://schemas.openxmlformats.org/markup-compatibility/2006">
      <mc:Choice Requires="x14">
        <control shapeId="2049" r:id="rId4" name="CommandButton_ViewSettings">
          <controlPr autoLine="0" r:id="rId5">
            <anchor moveWithCells="1">
              <from>
                <xdr:col>0</xdr:col>
                <xdr:colOff>485775</xdr:colOff>
                <xdr:row>6</xdr:row>
                <xdr:rowOff>47625</xdr:rowOff>
              </from>
              <to>
                <xdr:col>0</xdr:col>
                <xdr:colOff>1304925</xdr:colOff>
                <xdr:row>7</xdr:row>
                <xdr:rowOff>152400</xdr:rowOff>
              </to>
            </anchor>
          </controlPr>
        </control>
      </mc:Choice>
      <mc:Fallback>
        <control shapeId="2049" r:id="rId4" name="CommandButton_ViewSetting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onnectorBSheet">
    <pageSetUpPr fitToPage="1"/>
  </sheetPr>
  <dimension ref="A1:BV150"/>
  <sheetViews>
    <sheetView showRowColHeaders="0" zoomScale="85" zoomScaleNormal="85" workbookViewId="0">
      <pane xSplit="1" ySplit="9" topLeftCell="B10" activePane="bottomRight" state="frozen"/>
      <selection pane="topRight" activeCell="B1" sqref="B1"/>
      <selection pane="bottomLeft" activeCell="A7" sqref="A7"/>
      <selection pane="bottomRight" activeCell="B10" sqref="B10"/>
    </sheetView>
  </sheetViews>
  <sheetFormatPr defaultColWidth="9.140625" defaultRowHeight="12"/>
  <cols>
    <col min="1" max="1" width="27.85546875" style="1" customWidth="1"/>
    <col min="2" max="2" width="26.140625" style="96" customWidth="1"/>
    <col min="3" max="3" width="22.140625" style="95" customWidth="1"/>
    <col min="4" max="4" width="31.85546875" style="96" customWidth="1"/>
    <col min="5" max="5" width="26.85546875" style="96" customWidth="1"/>
    <col min="6" max="6" width="41.140625" style="96" customWidth="1"/>
    <col min="7" max="7" width="25.7109375" style="96" customWidth="1"/>
    <col min="8" max="8" width="28" style="96" customWidth="1"/>
    <col min="9" max="9" width="44.7109375" style="96" customWidth="1"/>
    <col min="10" max="10" width="28.7109375" style="96" customWidth="1"/>
    <col min="11" max="11" width="47.5703125" style="96" customWidth="1"/>
    <col min="12" max="12" width="26.7109375" style="96" customWidth="1"/>
    <col min="13" max="13" width="26.140625" style="96" customWidth="1"/>
    <col min="14" max="14" width="17.140625" style="96" customWidth="1"/>
    <col min="15" max="15" width="18.42578125" style="96" customWidth="1"/>
    <col min="16" max="16" width="16.140625" style="96" customWidth="1"/>
    <col min="17" max="18" width="16.140625" style="96" hidden="1" customWidth="1"/>
    <col min="19" max="19" width="17.85546875" style="1" customWidth="1"/>
    <col min="20" max="20" width="7" style="3" customWidth="1"/>
    <col min="21" max="21" width="8.7109375" style="3" customWidth="1"/>
    <col min="22" max="22" width="17.85546875" style="2" customWidth="1"/>
    <col min="23" max="23" width="28.5703125" style="96" customWidth="1"/>
    <col min="24" max="24" width="21.7109375" style="92" customWidth="1"/>
    <col min="25" max="26" width="32.5703125" style="96" customWidth="1"/>
    <col min="27" max="27" width="28.7109375" style="96" customWidth="1"/>
    <col min="28" max="28" width="25.85546875" style="96" customWidth="1"/>
    <col min="29" max="29" width="28.7109375" style="96" customWidth="1"/>
    <col min="30" max="30" width="54.7109375" style="96" customWidth="1"/>
    <col min="31" max="31" width="30.7109375" style="96" customWidth="1"/>
    <col min="32" max="32" width="26.5703125" style="96" customWidth="1"/>
    <col min="33" max="33" width="26.7109375" style="96" customWidth="1"/>
    <col min="34" max="34" width="31.42578125" style="96" customWidth="1"/>
    <col min="35" max="37" width="18.42578125" style="96" customWidth="1"/>
    <col min="38" max="38" width="21" style="96" customWidth="1"/>
    <col min="39" max="39" width="24.28515625" style="96" hidden="1" customWidth="1"/>
    <col min="40" max="40" width="25.42578125" style="1" customWidth="1"/>
    <col min="41" max="43" width="9.140625" style="1" customWidth="1"/>
    <col min="44" max="16384" width="9.140625" style="1"/>
  </cols>
  <sheetData>
    <row r="1" spans="1:74" ht="24.95" customHeight="1">
      <c r="A1" s="234" t="s">
        <v>260</v>
      </c>
      <c r="B1" s="128" t="str">
        <f>IF('Connector A'!B1&lt;&gt;"",'Connector A'!B1,"")</f>
        <v>Mercury+ AA1</v>
      </c>
      <c r="C1" s="128" t="str">
        <f>IF('Connector A'!C1&lt;&gt;"",'Connector A'!C1,"")</f>
        <v>Mercury CA1</v>
      </c>
      <c r="D1" s="128" t="str">
        <f>IF('Connector A'!D1&lt;&gt;"",'Connector A'!D1,"")</f>
        <v>Mercury KX1</v>
      </c>
      <c r="E1" s="128" t="str">
        <f>IF('Connector A'!E1&lt;&gt;"",'Connector A'!E1,"")</f>
        <v>Mercury+ KX2</v>
      </c>
      <c r="F1" s="128" t="str">
        <f>IF('Connector A'!F1&lt;&gt;"",'Connector A'!F1,"")</f>
        <v>Mercury SA1</v>
      </c>
      <c r="G1" s="128" t="str">
        <f>IF('Connector A'!G1&lt;&gt;"",'Connector A'!G1,"")</f>
        <v>Mercury+ SA2</v>
      </c>
      <c r="H1" s="128" t="str">
        <f>IF('Connector A'!H1&lt;&gt;"",'Connector A'!H1,"")</f>
        <v>Mercury+ XU1</v>
      </c>
      <c r="I1" s="128" t="str">
        <f>IF('Connector A'!I1&lt;&gt;"",'Connector A'!I1,"")</f>
        <v>Mercury XU5</v>
      </c>
      <c r="J1" s="128" t="str">
        <f>IF('Connector A'!J1&lt;&gt;"",'Connector A'!J1,"")</f>
        <v>Mercury+ XU7</v>
      </c>
      <c r="K1" s="128" t="str">
        <f>IF('Connector A'!K1&lt;&gt;"",'Connector A'!K1,"")</f>
        <v>Mercury ZX1</v>
      </c>
      <c r="L1" s="128" t="str">
        <f>IF('Connector A'!L1&lt;&gt;"",'Connector A'!L1,"")</f>
        <v>Mercury+ XU8</v>
      </c>
      <c r="M1" s="128" t="str">
        <f>IF('Connector A'!M1&lt;&gt;"",'Connector A'!M1,"")</f>
        <v>Mercury ZX5</v>
      </c>
      <c r="N1" s="128" t="str">
        <f>IF('Connector A'!N1&lt;&gt;"",'Connector A'!N1,"")</f>
        <v>Mercury Starter</v>
      </c>
      <c r="O1" s="128" t="str">
        <f>IF('Connector A'!O1&lt;&gt;"",'Connector A'!O1,"")</f>
        <v xml:space="preserve">Mercury+ PE1 </v>
      </c>
      <c r="P1" s="128" t="str">
        <f>IF('Connector A'!P1&lt;&gt;"",'Connector A'!P1,"")</f>
        <v>Mercury+ EV2</v>
      </c>
      <c r="Q1" s="128" t="str">
        <f>IF('Connector A'!Q1&lt;&gt;"",'Connector A'!Q1,"")</f>
        <v>Mercury EV2</v>
      </c>
      <c r="R1" s="128" t="str">
        <f>IF('Connector A'!R1&lt;&gt;"",'Connector A'!R1,"")</f>
        <v>Mercury+ EV3</v>
      </c>
      <c r="S1" s="129" t="str">
        <f>'Connector A'!S1</f>
        <v>Product Name</v>
      </c>
      <c r="T1" s="235" t="s">
        <v>259</v>
      </c>
      <c r="U1" s="236"/>
      <c r="V1" s="129" t="str">
        <f t="shared" ref="V1:V8" si="0">IF(S1&lt;&gt;"",S1,"")</f>
        <v>Product Name</v>
      </c>
      <c r="W1" s="128" t="str">
        <f t="shared" ref="W1:W8" si="1">IF(B1&lt;&gt;"",B1,"")</f>
        <v>Mercury+ AA1</v>
      </c>
      <c r="X1" s="128" t="str">
        <f t="shared" ref="X1:Z8" si="2">IF(C1&lt;&gt;"",C1,"")</f>
        <v>Mercury CA1</v>
      </c>
      <c r="Y1" s="128" t="str">
        <f t="shared" si="2"/>
        <v>Mercury KX1</v>
      </c>
      <c r="Z1" s="128" t="str">
        <f t="shared" si="2"/>
        <v>Mercury+ KX2</v>
      </c>
      <c r="AA1" s="128" t="str">
        <f t="shared" ref="AA1:AD8" si="3">IF(F1&lt;&gt;"",F1,"")</f>
        <v>Mercury SA1</v>
      </c>
      <c r="AB1" s="128" t="str">
        <f t="shared" si="3"/>
        <v>Mercury+ SA2</v>
      </c>
      <c r="AC1" s="128" t="str">
        <f t="shared" si="3"/>
        <v>Mercury+ XU1</v>
      </c>
      <c r="AD1" s="128" t="str">
        <f t="shared" si="3"/>
        <v>Mercury XU5</v>
      </c>
      <c r="AE1" s="128" t="str">
        <f t="shared" ref="AE1:AG8" si="4">IF(J1&lt;&gt;"",J1,"")</f>
        <v>Mercury+ XU7</v>
      </c>
      <c r="AF1" s="128" t="str">
        <f t="shared" si="4"/>
        <v>Mercury ZX1</v>
      </c>
      <c r="AG1" s="128" t="str">
        <f t="shared" si="4"/>
        <v>Mercury+ XU8</v>
      </c>
      <c r="AH1" s="128" t="str">
        <f t="shared" ref="AH1:AH8" si="5">IF(M1&lt;&gt;"",M1,"")</f>
        <v>Mercury ZX5</v>
      </c>
      <c r="AI1" s="128" t="str">
        <f t="shared" ref="AI1:AK4" si="6">IF(N1&lt;&gt;"",N1,"")</f>
        <v>Mercury Starter</v>
      </c>
      <c r="AJ1" s="128" t="str">
        <f t="shared" si="6"/>
        <v xml:space="preserve">Mercury+ PE1 </v>
      </c>
      <c r="AK1" s="128" t="str">
        <f t="shared" si="6"/>
        <v>Mercury+ EV2</v>
      </c>
      <c r="AL1" s="124"/>
      <c r="AM1" s="121" t="str">
        <f t="shared" ref="AM1:AM8" si="7">IF(R1&lt;&gt;"",R1,"")</f>
        <v>Mercury+ EV3</v>
      </c>
      <c r="AN1" s="24"/>
      <c r="AO1" s="2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row>
    <row r="2" spans="1:74" s="4" customFormat="1" ht="14.1" customHeight="1">
      <c r="A2" s="234"/>
      <c r="B2" s="130" t="str">
        <f>IF('Connector A'!B2&lt;&gt;"",'Connector A'!B2,"")</f>
        <v>Altera</v>
      </c>
      <c r="C2" s="130" t="str">
        <f>'Connector C'!C2</f>
        <v>Altera</v>
      </c>
      <c r="D2" s="130" t="str">
        <f>IF('Connector A'!D2&lt;&gt;"",'Connector A'!D2,"")</f>
        <v>Xilinx</v>
      </c>
      <c r="E2" s="130" t="str">
        <f>IF('Connector A'!E2&lt;&gt;"",'Connector A'!E2,"")</f>
        <v>Xilinx</v>
      </c>
      <c r="F2" s="130" t="str">
        <f>IF('Connector A'!F2&lt;&gt;"",'Connector A'!F2,"")</f>
        <v>Altera</v>
      </c>
      <c r="G2" s="130" t="str">
        <f>IF('Connector A'!G2&lt;&gt;"",'Connector A'!G2,"")</f>
        <v>Altera</v>
      </c>
      <c r="H2" s="130" t="str">
        <f>IF('Connector A'!H2&lt;&gt;"",'Connector A'!H2,"")</f>
        <v>Xilinx</v>
      </c>
      <c r="I2" s="130" t="str">
        <f>IF('Connector A'!I2&lt;&gt;"",'Connector A'!I2,"")</f>
        <v>Xilinx</v>
      </c>
      <c r="J2" s="130" t="str">
        <f>IF('Connector A'!J2&lt;&gt;"",'Connector A'!J2,"")</f>
        <v>Xilinx</v>
      </c>
      <c r="K2" s="130" t="str">
        <f>IF('Connector A'!K2&lt;&gt;"",'Connector A'!K2,"")</f>
        <v>Xilinx</v>
      </c>
      <c r="L2" s="130" t="str">
        <f>IF('Connector A'!L2&lt;&gt;"",'Connector A'!L2,"")</f>
        <v>Xilinx</v>
      </c>
      <c r="M2" s="130" t="str">
        <f>IF('Connector A'!M2&lt;&gt;"",'Connector A'!M2,"")</f>
        <v>Xilinx</v>
      </c>
      <c r="N2" s="130" t="str">
        <f>IF('Connector A'!N2&lt;&gt;"",'Connector A'!N2,"")</f>
        <v/>
      </c>
      <c r="O2" s="130" t="str">
        <f>IF('Connector A'!O2&lt;&gt;"",'Connector A'!O2,"")</f>
        <v>200/300/400</v>
      </c>
      <c r="P2" s="130" t="str">
        <f>IF('Connector A'!P2&lt;&gt;"",'Connector A'!P2,"")</f>
        <v/>
      </c>
      <c r="Q2" s="130" t="str">
        <f>IF('Connector A'!Q2&lt;&gt;"",'Connector A'!Q2,"")</f>
        <v/>
      </c>
      <c r="R2" s="130" t="str">
        <f>IF('Connector A'!R2&lt;&gt;"",'Connector A'!R2,"")</f>
        <v/>
      </c>
      <c r="S2" s="131" t="str">
        <f>'Connector A'!S2</f>
        <v>FPGA vendor</v>
      </c>
      <c r="T2" s="235"/>
      <c r="U2" s="235"/>
      <c r="V2" s="132" t="str">
        <f t="shared" si="0"/>
        <v>FPGA vendor</v>
      </c>
      <c r="W2" s="130" t="str">
        <f t="shared" si="1"/>
        <v>Altera</v>
      </c>
      <c r="X2" s="130" t="str">
        <f t="shared" si="2"/>
        <v>Altera</v>
      </c>
      <c r="Y2" s="130" t="str">
        <f t="shared" si="2"/>
        <v>Xilinx</v>
      </c>
      <c r="Z2" s="130" t="str">
        <f t="shared" si="2"/>
        <v>Xilinx</v>
      </c>
      <c r="AA2" s="130" t="str">
        <f t="shared" si="3"/>
        <v>Altera</v>
      </c>
      <c r="AB2" s="130" t="str">
        <f t="shared" si="3"/>
        <v>Altera</v>
      </c>
      <c r="AC2" s="130" t="str">
        <f t="shared" si="3"/>
        <v>Xilinx</v>
      </c>
      <c r="AD2" s="130" t="str">
        <f t="shared" si="3"/>
        <v>Xilinx</v>
      </c>
      <c r="AE2" s="130" t="str">
        <f t="shared" si="4"/>
        <v>Xilinx</v>
      </c>
      <c r="AF2" s="130" t="str">
        <f t="shared" si="4"/>
        <v>Xilinx</v>
      </c>
      <c r="AG2" s="130" t="str">
        <f t="shared" si="4"/>
        <v>Xilinx</v>
      </c>
      <c r="AH2" s="130" t="str">
        <f t="shared" si="5"/>
        <v>Xilinx</v>
      </c>
      <c r="AI2" s="130" t="str">
        <f t="shared" si="6"/>
        <v/>
      </c>
      <c r="AJ2" s="130" t="str">
        <f t="shared" si="6"/>
        <v>200/300/400</v>
      </c>
      <c r="AK2" s="130" t="str">
        <f t="shared" si="6"/>
        <v/>
      </c>
      <c r="AL2" s="122"/>
      <c r="AM2" s="122" t="str">
        <f t="shared" si="7"/>
        <v/>
      </c>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row>
    <row r="3" spans="1:74" s="4" customFormat="1" ht="14.1" customHeight="1">
      <c r="A3" s="133" t="str">
        <f>'Connector A'!A3</f>
        <v>Date: 26 September 2018</v>
      </c>
      <c r="B3" s="130" t="str">
        <f>IF('Connector A'!B3&lt;&gt;"",'Connector A'!B3,"")</f>
        <v>Arria 10 SoC</v>
      </c>
      <c r="C3" s="130" t="str">
        <f>IF('Connector A'!C3&lt;&gt;"",'Connector A'!C3,"")</f>
        <v>Cyclone IV</v>
      </c>
      <c r="D3" s="130" t="str">
        <f>IF('Connector A'!D3&lt;&gt;"",'Connector A'!D3,"")</f>
        <v>Kintex-7</v>
      </c>
      <c r="E3" s="130" t="str">
        <f>IF('Connector A'!E3&lt;&gt;"",'Connector A'!E3,"")</f>
        <v>Kintex-7</v>
      </c>
      <c r="F3" s="130" t="str">
        <f>IF('Connector A'!F3&lt;&gt;"",'Connector A'!F3,"")</f>
        <v>Cyclone V SoC</v>
      </c>
      <c r="G3" s="130" t="str">
        <f>IF('Connector A'!G3&lt;&gt;"",'Connector A'!G3,"")</f>
        <v>Cyclone V SoC</v>
      </c>
      <c r="H3" s="130" t="str">
        <f>IF('Connector A'!H3&lt;&gt;"",'Connector A'!H3,"")</f>
        <v>Zynq Ultrascale+</v>
      </c>
      <c r="I3" s="130" t="str">
        <f>IF('Connector A'!I3&lt;&gt;"",'Connector A'!I3,"")</f>
        <v>Zynq Ultrascale+</v>
      </c>
      <c r="J3" s="130" t="str">
        <f>IF('Connector A'!J3&lt;&gt;"",'Connector A'!J3,"")</f>
        <v>Zynq Ultrascale+</v>
      </c>
      <c r="K3" s="130" t="str">
        <f>IF('Connector A'!K3&lt;&gt;"",'Connector A'!K3,"")</f>
        <v>Zynq-7000</v>
      </c>
      <c r="L3" s="130" t="str">
        <f>IF('Connector A'!L3&lt;&gt;"",'Connector A'!L3,"")</f>
        <v>Zynq Ultrascale+</v>
      </c>
      <c r="M3" s="130" t="str">
        <f>IF('Connector A'!M3&lt;&gt;"",'Connector A'!M3,"")</f>
        <v>Zynq-7000</v>
      </c>
      <c r="N3" s="130" t="str">
        <f>IF('Connector A'!N3&lt;&gt;"",'Connector A'!N3,"")</f>
        <v/>
      </c>
      <c r="O3" s="130" t="str">
        <f>IF('Connector A'!O3&lt;&gt;"",'Connector A'!O3,"")</f>
        <v/>
      </c>
      <c r="P3" s="130" t="str">
        <f>IF('Connector A'!P3&lt;&gt;"",'Connector A'!P3,"")</f>
        <v/>
      </c>
      <c r="Q3" s="130" t="str">
        <f>IF('Connector A'!Q3&lt;&gt;"",'Connector A'!Q3,"")</f>
        <v/>
      </c>
      <c r="R3" s="130" t="str">
        <f>IF('Connector A'!R3&lt;&gt;"",'Connector A'!R3,"")</f>
        <v/>
      </c>
      <c r="S3" s="131" t="str">
        <f>'Connector A'!S3</f>
        <v>FPGA family</v>
      </c>
      <c r="T3" s="235"/>
      <c r="U3" s="235"/>
      <c r="V3" s="132" t="str">
        <f t="shared" si="0"/>
        <v>FPGA family</v>
      </c>
      <c r="W3" s="130" t="str">
        <f t="shared" si="1"/>
        <v>Arria 10 SoC</v>
      </c>
      <c r="X3" s="130" t="str">
        <f t="shared" si="2"/>
        <v>Cyclone IV</v>
      </c>
      <c r="Y3" s="130" t="str">
        <f t="shared" si="2"/>
        <v>Kintex-7</v>
      </c>
      <c r="Z3" s="130" t="str">
        <f t="shared" si="2"/>
        <v>Kintex-7</v>
      </c>
      <c r="AA3" s="130" t="str">
        <f t="shared" si="3"/>
        <v>Cyclone V SoC</v>
      </c>
      <c r="AB3" s="130" t="str">
        <f t="shared" si="3"/>
        <v>Cyclone V SoC</v>
      </c>
      <c r="AC3" s="130" t="str">
        <f t="shared" si="3"/>
        <v>Zynq Ultrascale+</v>
      </c>
      <c r="AD3" s="130" t="str">
        <f t="shared" si="3"/>
        <v>Zynq Ultrascale+</v>
      </c>
      <c r="AE3" s="130" t="str">
        <f t="shared" si="4"/>
        <v>Zynq Ultrascale+</v>
      </c>
      <c r="AF3" s="130" t="str">
        <f t="shared" si="4"/>
        <v>Zynq-7000</v>
      </c>
      <c r="AG3" s="130" t="str">
        <f t="shared" si="4"/>
        <v>Zynq Ultrascale+</v>
      </c>
      <c r="AH3" s="130" t="str">
        <f t="shared" si="5"/>
        <v>Zynq-7000</v>
      </c>
      <c r="AI3" s="130" t="str">
        <f t="shared" si="6"/>
        <v/>
      </c>
      <c r="AJ3" s="130" t="str">
        <f t="shared" si="6"/>
        <v/>
      </c>
      <c r="AK3" s="130" t="str">
        <f t="shared" si="6"/>
        <v/>
      </c>
      <c r="AL3" s="122"/>
      <c r="AM3" s="122" t="str">
        <f t="shared" si="7"/>
        <v/>
      </c>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row>
    <row r="4" spans="1:74" s="4" customFormat="1" ht="14.1" customHeight="1">
      <c r="A4" s="133"/>
      <c r="B4" s="130" t="str">
        <f>IF('Connector A'!B4&lt;&gt;"",'Connector A'!B4,"")</f>
        <v>SX 270/480</v>
      </c>
      <c r="C4" s="130" t="str">
        <f>IF('Connector A'!C4&lt;&gt;"",'Connector A'!C4,"")</f>
        <v>30/75/115</v>
      </c>
      <c r="D4" s="130" t="str">
        <f>IF('Connector A'!D4&lt;&gt;"",'Connector A'!D4,"")</f>
        <v>160T/325T/410T</v>
      </c>
      <c r="E4" s="130" t="str">
        <f>IF('Connector A'!E4&lt;&gt;"",'Connector A'!E4,"")</f>
        <v>160T/325T/410T</v>
      </c>
      <c r="F4" s="130" t="str">
        <f>IF('Connector A'!F4&lt;&gt;"",'Connector A'!F4,"")</f>
        <v>C5/C6</v>
      </c>
      <c r="G4" s="130" t="str">
        <f>IF('Connector A'!G4&lt;&gt;"",'Connector A'!G4,"")</f>
        <v>C5/D6</v>
      </c>
      <c r="H4" s="130" t="str">
        <f>IF('Connector A'!H4&lt;&gt;"",'Connector A'!H4,"")</f>
        <v>ZU6EG/ZU9EG/ZU15EG</v>
      </c>
      <c r="I4" s="130" t="str">
        <f>IF('Connector A'!I4&lt;&gt;"",'Connector A'!I4,"")</f>
        <v>ZU2EG/ZU3EG/ZU4EV/ZU5EV</v>
      </c>
      <c r="J4" s="130" t="str">
        <f>IF('Connector A'!J4&lt;&gt;"",'Connector A'!J4,"")</f>
        <v>ZU6EG/ZU9EG/ZU15EG</v>
      </c>
      <c r="K4" s="130" t="str">
        <f>IF('Connector A'!K4&lt;&gt;"",'Connector A'!K4,"")</f>
        <v>Z-7030/7035/7045</v>
      </c>
      <c r="L4" s="130" t="str">
        <f>IF('Connector A'!L4&lt;&gt;"",'Connector A'!L4,"")</f>
        <v>ZU4CG/ZU5EV/ZU7EV</v>
      </c>
      <c r="M4" s="130" t="str">
        <f>IF('Connector A'!M4&lt;&gt;"",'Connector A'!M4,"")</f>
        <v>Z-7015/7030</v>
      </c>
      <c r="N4" s="130" t="str">
        <f>IF('Connector A'!N4&lt;&gt;"",'Connector A'!N4,"")</f>
        <v/>
      </c>
      <c r="O4" s="130" t="str">
        <f>IF('Connector A'!O4&lt;&gt;"",'Connector A'!O4,"")</f>
        <v/>
      </c>
      <c r="P4" s="130" t="str">
        <f>IF('Connector A'!P4&lt;&gt;"",'Connector A'!P4,"")</f>
        <v/>
      </c>
      <c r="Q4" s="130" t="str">
        <f>IF('Connector A'!Q4&lt;&gt;"",'Connector A'!Q4,"")</f>
        <v/>
      </c>
      <c r="R4" s="130" t="str">
        <f>IF('Connector A'!R4&lt;&gt;"",'Connector A'!R4,"")</f>
        <v/>
      </c>
      <c r="S4" s="131" t="str">
        <f>'Connector A'!S4</f>
        <v>FPGA device(s)</v>
      </c>
      <c r="T4" s="235"/>
      <c r="U4" s="235"/>
      <c r="V4" s="132" t="str">
        <f t="shared" ref="V4" si="8">IF(S4&lt;&gt;"",S4,"")</f>
        <v>FPGA device(s)</v>
      </c>
      <c r="W4" s="130" t="str">
        <f t="shared" si="1"/>
        <v>SX 270/480</v>
      </c>
      <c r="X4" s="130" t="str">
        <f t="shared" si="2"/>
        <v>30/75/115</v>
      </c>
      <c r="Y4" s="130" t="str">
        <f t="shared" si="2"/>
        <v>160T/325T/410T</v>
      </c>
      <c r="Z4" s="130" t="str">
        <f t="shared" si="2"/>
        <v>160T/325T/410T</v>
      </c>
      <c r="AA4" s="130" t="str">
        <f t="shared" si="3"/>
        <v>C5/C6</v>
      </c>
      <c r="AB4" s="130" t="str">
        <f t="shared" si="3"/>
        <v>C5/D6</v>
      </c>
      <c r="AC4" s="130" t="str">
        <f t="shared" si="3"/>
        <v>ZU6EG/ZU9EG/ZU15EG</v>
      </c>
      <c r="AD4" s="130" t="str">
        <f t="shared" si="3"/>
        <v>ZU2EG/ZU3EG/ZU4EV/ZU5EV</v>
      </c>
      <c r="AE4" s="130" t="str">
        <f t="shared" si="4"/>
        <v>ZU6EG/ZU9EG/ZU15EG</v>
      </c>
      <c r="AF4" s="130" t="str">
        <f t="shared" si="4"/>
        <v>Z-7030/7035/7045</v>
      </c>
      <c r="AG4" s="130" t="str">
        <f t="shared" si="4"/>
        <v>ZU4CG/ZU5EV/ZU7EV</v>
      </c>
      <c r="AH4" s="130" t="str">
        <f t="shared" si="5"/>
        <v>Z-7015/7030</v>
      </c>
      <c r="AI4" s="130" t="str">
        <f t="shared" si="6"/>
        <v/>
      </c>
      <c r="AJ4" s="130" t="str">
        <f t="shared" si="6"/>
        <v/>
      </c>
      <c r="AK4" s="130" t="str">
        <f t="shared" si="6"/>
        <v/>
      </c>
      <c r="AL4" s="122"/>
      <c r="AM4" s="122" t="str">
        <f t="shared" ref="AM4" si="9">IF(R4&lt;&gt;"",R4,"")</f>
        <v/>
      </c>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row>
    <row r="5" spans="1:74" s="4" customFormat="1" ht="14.1" customHeight="1">
      <c r="A5" s="133"/>
      <c r="B5" s="130" t="str">
        <f>IF('Connector A'!B5&lt;&gt;"",'Connector A'!B5,"")</f>
        <v>F780</v>
      </c>
      <c r="C5" s="130" t="str">
        <f>IF('Connector A'!C5&lt;&gt;"",'Connector A'!C5,"")</f>
        <v>F484</v>
      </c>
      <c r="D5" s="130" t="str">
        <f>IF('Connector A'!D5&lt;&gt;"",'Connector A'!D5,"")</f>
        <v>FBG676/FFG676</v>
      </c>
      <c r="E5" s="130" t="str">
        <f>IF('Connector A'!E5&lt;&gt;"",'Connector A'!E5,"")</f>
        <v>FFG676</v>
      </c>
      <c r="F5" s="130" t="str">
        <f>IF('Connector A'!F5&lt;&gt;"",'Connector A'!F5,"")</f>
        <v>U672</v>
      </c>
      <c r="G5" s="130" t="str">
        <f>IF('Connector A'!G5&lt;&gt;"",'Connector A'!G5,"")</f>
        <v>F896</v>
      </c>
      <c r="H5" s="130" t="str">
        <f>IF('Connector A'!H5&lt;&gt;"",'Connector A'!H5,"")</f>
        <v>C900</v>
      </c>
      <c r="I5" s="130" t="str">
        <f>IF('Connector A'!I5&lt;&gt;"",'Connector A'!I5,"")</f>
        <v>C784</v>
      </c>
      <c r="J5" s="130" t="str">
        <f>IF('Connector A'!J5&lt;&gt;"",'Connector A'!J5,"")</f>
        <v>C900</v>
      </c>
      <c r="K5" s="130" t="str">
        <f>IF('Connector A'!K5&lt;&gt;"",'Connector A'!K5,"")</f>
        <v>FBG676/FFG676</v>
      </c>
      <c r="L5" s="130" t="str">
        <f>IF('Connector A'!L5&lt;&gt;"",'Connector A'!L5,"")</f>
        <v>B900</v>
      </c>
      <c r="M5" s="130" t="str">
        <f>IF('Connector A'!M5&lt;&gt;"",'Connector A'!M5,"")</f>
        <v>CLG485/SBG485</v>
      </c>
      <c r="N5" s="130" t="str">
        <f>IF('Connector A'!N5&lt;&gt;"",'Connector A'!N5,"")</f>
        <v/>
      </c>
      <c r="O5" s="130" t="str">
        <f>IF('Connector A'!O5&lt;&gt;"",'Connector A'!O5,"")</f>
        <v/>
      </c>
      <c r="P5" s="130" t="str">
        <f>IF('Connector A'!P5&lt;&gt;"",'Connector A'!P5,"")</f>
        <v/>
      </c>
      <c r="Q5" s="130" t="str">
        <f>IF('Connector A'!Q5&lt;&gt;"",'Connector A'!Q5,"")</f>
        <v/>
      </c>
      <c r="R5" s="130" t="str">
        <f>IF('Connector A'!R5&lt;&gt;"",'Connector A'!R5,"")</f>
        <v/>
      </c>
      <c r="S5" s="131" t="str">
        <f>'Connector A'!S5</f>
        <v>FPGA package</v>
      </c>
      <c r="T5" s="235"/>
      <c r="U5" s="235"/>
      <c r="V5" s="132" t="str">
        <f t="shared" si="0"/>
        <v>FPGA package</v>
      </c>
      <c r="W5" s="130" t="str">
        <f t="shared" si="1"/>
        <v>F780</v>
      </c>
      <c r="X5" s="130" t="str">
        <f t="shared" si="2"/>
        <v>F484</v>
      </c>
      <c r="Y5" s="130" t="str">
        <f t="shared" si="2"/>
        <v>FBG676/FFG676</v>
      </c>
      <c r="Z5" s="130" t="str">
        <f t="shared" si="2"/>
        <v>FFG676</v>
      </c>
      <c r="AA5" s="130" t="str">
        <f t="shared" si="3"/>
        <v>U672</v>
      </c>
      <c r="AB5" s="130" t="str">
        <f t="shared" si="3"/>
        <v>F896</v>
      </c>
      <c r="AC5" s="130" t="str">
        <f t="shared" si="3"/>
        <v>C900</v>
      </c>
      <c r="AD5" s="130" t="str">
        <f t="shared" si="3"/>
        <v>C784</v>
      </c>
      <c r="AE5" s="130" t="str">
        <f t="shared" si="4"/>
        <v>C900</v>
      </c>
      <c r="AF5" s="130" t="str">
        <f t="shared" si="4"/>
        <v>FBG676/FFG676</v>
      </c>
      <c r="AG5" s="130" t="str">
        <f t="shared" si="4"/>
        <v>B900</v>
      </c>
      <c r="AH5" s="130" t="str">
        <f t="shared" si="5"/>
        <v>CLG485/SBG485</v>
      </c>
      <c r="AI5" s="130" t="str">
        <f t="shared" ref="AI5" si="10">IF(N5&lt;&gt;"",N5,"")</f>
        <v/>
      </c>
      <c r="AJ5" s="130" t="str">
        <f t="shared" ref="AJ5:AK8" si="11">IF(O5&lt;&gt;"",O5,"")</f>
        <v/>
      </c>
      <c r="AK5" s="130" t="str">
        <f t="shared" si="11"/>
        <v/>
      </c>
      <c r="AL5" s="122"/>
      <c r="AM5" s="122" t="str">
        <f t="shared" ref="AM5" si="12">IF(R5&lt;&gt;"",R5,"")</f>
        <v/>
      </c>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row>
    <row r="6" spans="1:74" ht="14.1" customHeight="1">
      <c r="A6" s="134"/>
      <c r="B6" s="130" t="str">
        <f>IF('Connector A'!B6&lt;&gt;"",'Connector A'!B6,"")</f>
        <v>R2</v>
      </c>
      <c r="C6" s="130" t="str">
        <f>IF('Connector A'!C6&lt;&gt;"",'Connector A'!C6,"")</f>
        <v>R6</v>
      </c>
      <c r="D6" s="130" t="str">
        <f>IF('Connector A'!D6&lt;&gt;"",'Connector A'!D6,"")</f>
        <v>R5</v>
      </c>
      <c r="E6" s="130" t="str">
        <f>IF('Connector A'!E6&lt;&gt;"",'Connector A'!E6,"")</f>
        <v>R2</v>
      </c>
      <c r="F6" s="130" t="str">
        <f>IF('Connector A'!F6&lt;&gt;"",'Connector A'!F6,"")</f>
        <v>R3</v>
      </c>
      <c r="G6" s="130" t="str">
        <f>IF('Connector A'!G6&lt;&gt;"",'Connector A'!G6,"")</f>
        <v>R1</v>
      </c>
      <c r="H6" s="130" t="str">
        <f>IF('Connector A'!H6&lt;&gt;"",'Connector A'!H6,"")</f>
        <v>R3</v>
      </c>
      <c r="I6" s="130" t="str">
        <f>IF('Connector A'!I6&lt;&gt;"",'Connector A'!I6,"")</f>
        <v>R1</v>
      </c>
      <c r="J6" s="130" t="str">
        <f>IF('Connector A'!J6&lt;&gt;"",'Connector A'!J6,"")</f>
        <v>R1</v>
      </c>
      <c r="K6" s="130" t="str">
        <f>IF('Connector A'!K6&lt;&gt;"",'Connector A'!K6,"")</f>
        <v>R3</v>
      </c>
      <c r="L6" s="130" t="str">
        <f>IF('Connector A'!L6&lt;&gt;"",'Connector A'!L6,"")</f>
        <v>R1</v>
      </c>
      <c r="M6" s="130" t="str">
        <f>IF('Connector A'!M6&lt;&gt;"",'Connector A'!M6,"")</f>
        <v>R3</v>
      </c>
      <c r="N6" s="130" t="str">
        <f>IF('Connector A'!N6&lt;&gt;"",'Connector A'!N6,"")</f>
        <v>R1</v>
      </c>
      <c r="O6" s="130" t="str">
        <f>IF('Connector A'!O6&lt;&gt;"",'Connector A'!O6,"")</f>
        <v>R4</v>
      </c>
      <c r="P6" s="130" t="str">
        <f>IF('Connector A'!P6&lt;&gt;"",'Connector A'!P6,"")</f>
        <v/>
      </c>
      <c r="Q6" s="130" t="str">
        <f>IF('Connector A'!Q6&lt;&gt;"",'Connector A'!Q6,"")</f>
        <v/>
      </c>
      <c r="R6" s="130" t="str">
        <f>IF('Connector A'!R6&lt;&gt;"",'Connector A'!R6,"")</f>
        <v/>
      </c>
      <c r="S6" s="131" t="str">
        <f>'Connector A'!S6</f>
        <v>Board revision</v>
      </c>
      <c r="T6" s="235"/>
      <c r="U6" s="235"/>
      <c r="V6" s="132" t="str">
        <f t="shared" si="0"/>
        <v>Board revision</v>
      </c>
      <c r="W6" s="130" t="str">
        <f t="shared" si="1"/>
        <v>R2</v>
      </c>
      <c r="X6" s="130" t="str">
        <f t="shared" si="2"/>
        <v>R6</v>
      </c>
      <c r="Y6" s="130" t="str">
        <f t="shared" si="2"/>
        <v>R5</v>
      </c>
      <c r="Z6" s="130" t="str">
        <f t="shared" si="2"/>
        <v>R2</v>
      </c>
      <c r="AA6" s="130" t="str">
        <f t="shared" si="3"/>
        <v>R3</v>
      </c>
      <c r="AB6" s="130" t="str">
        <f t="shared" si="3"/>
        <v>R1</v>
      </c>
      <c r="AC6" s="130" t="str">
        <f t="shared" si="3"/>
        <v>R3</v>
      </c>
      <c r="AD6" s="130" t="str">
        <f t="shared" si="3"/>
        <v>R1</v>
      </c>
      <c r="AE6" s="130" t="str">
        <f t="shared" si="4"/>
        <v>R1</v>
      </c>
      <c r="AF6" s="130" t="str">
        <f t="shared" si="4"/>
        <v>R3</v>
      </c>
      <c r="AG6" s="130" t="str">
        <f t="shared" si="4"/>
        <v>R1</v>
      </c>
      <c r="AH6" s="130" t="str">
        <f t="shared" si="5"/>
        <v>R3</v>
      </c>
      <c r="AI6" s="130" t="str">
        <f>IF(N6&lt;&gt;"",N6,"")</f>
        <v>R1</v>
      </c>
      <c r="AJ6" s="130" t="str">
        <f t="shared" si="11"/>
        <v>R4</v>
      </c>
      <c r="AK6" s="130" t="str">
        <f t="shared" si="11"/>
        <v/>
      </c>
      <c r="AL6" s="122"/>
      <c r="AM6" s="122" t="str">
        <f t="shared" si="7"/>
        <v/>
      </c>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row>
    <row r="7" spans="1:74" ht="14.1" customHeight="1">
      <c r="A7" s="134"/>
      <c r="B7" s="130" t="str">
        <f>IF('Connector A'!B7&lt;&gt;"",'Connector A'!B7,"")</f>
        <v/>
      </c>
      <c r="C7" s="130" t="str">
        <f>IF('Connector A'!C7&lt;&gt;"",'Connector A'!C7,"")</f>
        <v/>
      </c>
      <c r="D7" s="130" t="str">
        <f>IF('Connector A'!D7&lt;&gt;"",'Connector A'!D7,"")</f>
        <v/>
      </c>
      <c r="E7" s="130" t="str">
        <f>IF('Connector A'!E7&lt;&gt;"",'Connector A'!E7,"")</f>
        <v/>
      </c>
      <c r="F7" s="130" t="str">
        <f>IF('Connector A'!F7&lt;&gt;"",'Connector A'!F7,"")</f>
        <v/>
      </c>
      <c r="G7" s="130" t="str">
        <f>IF('Connector A'!G7&lt;&gt;"",'Connector A'!G7,"")</f>
        <v/>
      </c>
      <c r="H7" s="130" t="str">
        <f>IF('Connector A'!H7&lt;&gt;"",'Connector A'!H7,"")</f>
        <v/>
      </c>
      <c r="I7" s="130" t="str">
        <f>IF('Connector A'!I7&lt;&gt;"",'Connector A'!I7,"")</f>
        <v/>
      </c>
      <c r="J7" s="130" t="str">
        <f>IF('Connector A'!J7&lt;&gt;"",'Connector A'!J7,"")</f>
        <v/>
      </c>
      <c r="K7" s="130" t="str">
        <f>IF('Connector A'!K7&lt;&gt;"",'Connector A'!K7,"")</f>
        <v/>
      </c>
      <c r="L7" s="130" t="str">
        <f>IF('Connector A'!L7&lt;&gt;"",'Connector A'!L7,"")</f>
        <v/>
      </c>
      <c r="M7" s="130" t="str">
        <f>IF('Connector A'!M7&lt;&gt;"",'Connector A'!M7,"")</f>
        <v/>
      </c>
      <c r="N7" s="130" t="str">
        <f>IF('Connector A'!N7&lt;&gt;"",'Connector A'!N7,"")</f>
        <v>End-of-life</v>
      </c>
      <c r="O7" s="130" t="str">
        <f>IF('Connector A'!O7&lt;&gt;"",'Connector A'!O7,"")</f>
        <v/>
      </c>
      <c r="P7" s="130" t="str">
        <f>IF('Connector A'!P7&lt;&gt;"",'Connector A'!P7,"")</f>
        <v>Advance</v>
      </c>
      <c r="Q7" s="130" t="str">
        <f>IF('Connector A'!Q7&lt;&gt;"",'Connector A'!Q7,"")</f>
        <v>Advance</v>
      </c>
      <c r="R7" s="130" t="str">
        <f>IF('Connector A'!R7&lt;&gt;"",'Connector A'!R7,"")</f>
        <v>Advance</v>
      </c>
      <c r="S7" s="131" t="str">
        <f>'Connector A'!S7</f>
        <v>Board status</v>
      </c>
      <c r="T7" s="235"/>
      <c r="U7" s="235"/>
      <c r="V7" s="132" t="str">
        <f t="shared" ref="V7" si="13">IF(S7&lt;&gt;"",S7,"")</f>
        <v>Board status</v>
      </c>
      <c r="W7" s="130" t="str">
        <f t="shared" si="1"/>
        <v/>
      </c>
      <c r="X7" s="130" t="str">
        <f t="shared" si="2"/>
        <v/>
      </c>
      <c r="Y7" s="130" t="str">
        <f t="shared" si="2"/>
        <v/>
      </c>
      <c r="Z7" s="130" t="str">
        <f t="shared" si="2"/>
        <v/>
      </c>
      <c r="AA7" s="130" t="str">
        <f t="shared" si="3"/>
        <v/>
      </c>
      <c r="AB7" s="130" t="str">
        <f t="shared" si="3"/>
        <v/>
      </c>
      <c r="AC7" s="130" t="str">
        <f t="shared" si="3"/>
        <v/>
      </c>
      <c r="AD7" s="130" t="str">
        <f t="shared" si="3"/>
        <v/>
      </c>
      <c r="AE7" s="130"/>
      <c r="AF7" s="130" t="str">
        <f t="shared" si="4"/>
        <v/>
      </c>
      <c r="AG7" s="130" t="str">
        <f t="shared" si="4"/>
        <v/>
      </c>
      <c r="AH7" s="130" t="str">
        <f t="shared" si="5"/>
        <v/>
      </c>
      <c r="AI7" s="130" t="str">
        <f t="shared" ref="AI7" si="14">IF(N7&lt;&gt;"",N7,"")</f>
        <v>End-of-life</v>
      </c>
      <c r="AJ7" s="130" t="str">
        <f t="shared" si="11"/>
        <v/>
      </c>
      <c r="AK7" s="130" t="str">
        <f t="shared" si="11"/>
        <v>Advance</v>
      </c>
      <c r="AL7" s="122"/>
      <c r="AM7" s="122" t="str">
        <f t="shared" ref="AM7" si="15">IF(R7&lt;&gt;"",R7,"")</f>
        <v>Advance</v>
      </c>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row>
    <row r="8" spans="1:74" ht="14.1" customHeight="1" thickBot="1">
      <c r="A8" s="238"/>
      <c r="B8" s="130" t="str">
        <f>IF('Connector A'!B8&lt;&gt;"",'Connector A'!B8,"")</f>
        <v>28 February 2018</v>
      </c>
      <c r="C8" s="130" t="str">
        <f>IF('Connector A'!C8&lt;&gt;"",'Connector A'!C8,"")</f>
        <v>28 February 2018</v>
      </c>
      <c r="D8" s="130" t="str">
        <f>IF('Connector A'!D8&lt;&gt;"",'Connector A'!D8,"")</f>
        <v>28 February 2018</v>
      </c>
      <c r="E8" s="130" t="str">
        <f>IF('Connector A'!E8&lt;&gt;"",'Connector A'!E8,"")</f>
        <v>20 July 2017</v>
      </c>
      <c r="F8" s="130" t="str">
        <f>IF('Connector A'!F8&lt;&gt;"",'Connector A'!F8,"")</f>
        <v>26 September 2018</v>
      </c>
      <c r="G8" s="130" t="str">
        <f>IF('Connector A'!G8&lt;&gt;"",'Connector A'!G8,"")</f>
        <v>28 February 2018</v>
      </c>
      <c r="H8" s="130" t="str">
        <f>IF('Connector A'!H8&lt;&gt;"",'Connector A'!H8,"")</f>
        <v>26 September 2018</v>
      </c>
      <c r="I8" s="130" t="str">
        <f>IF('Connector A'!I8&lt;&gt;"",'Connector A'!I8,"")</f>
        <v>25 July 2018</v>
      </c>
      <c r="J8" s="130" t="str">
        <f>IF('Connector A'!J8&lt;&gt;"",'Connector A'!J8,"")</f>
        <v>26 September 2018</v>
      </c>
      <c r="K8" s="130" t="str">
        <f>IF('Connector A'!K8&lt;&gt;"",'Connector A'!K8,"")</f>
        <v>28 February 2018</v>
      </c>
      <c r="L8" s="130" t="str">
        <f>IF('Connector A'!L8&lt;&gt;"",'Connector A'!L8,"")</f>
        <v>26 September 2018</v>
      </c>
      <c r="M8" s="130" t="str">
        <f>IF('Connector A'!M8&lt;&gt;"",'Connector A'!M8,"")</f>
        <v>28 February 2018</v>
      </c>
      <c r="N8" s="130" t="str">
        <f>IF('Connector A'!N8&lt;&gt;"",'Connector A'!N8,"")</f>
        <v>28 May 2013</v>
      </c>
      <c r="O8" s="130" t="str">
        <f>IF('Connector A'!O8&lt;&gt;"",'Connector A'!O8,"")</f>
        <v>28 February 2018</v>
      </c>
      <c r="P8" s="130" t="str">
        <f>IF('Connector A'!P8&lt;&gt;"",'Connector A'!P8,"")</f>
        <v>12 May 2015</v>
      </c>
      <c r="Q8" s="130" t="str">
        <f>IF('Connector A'!Q8&lt;&gt;"",'Connector A'!Q8,"")</f>
        <v>12 May 2015</v>
      </c>
      <c r="R8" s="130" t="str">
        <f>IF('Connector A'!R8&lt;&gt;"",'Connector A'!R8,"")</f>
        <v>12 May 2015</v>
      </c>
      <c r="S8" s="131" t="str">
        <f>'Connector A'!S8</f>
        <v>Last update</v>
      </c>
      <c r="T8" s="237"/>
      <c r="U8" s="237"/>
      <c r="V8" s="132" t="str">
        <f t="shared" si="0"/>
        <v>Last update</v>
      </c>
      <c r="W8" s="130" t="str">
        <f t="shared" si="1"/>
        <v>28 February 2018</v>
      </c>
      <c r="X8" s="130" t="str">
        <f t="shared" si="2"/>
        <v>28 February 2018</v>
      </c>
      <c r="Y8" s="130" t="str">
        <f t="shared" si="2"/>
        <v>28 February 2018</v>
      </c>
      <c r="Z8" s="130" t="str">
        <f t="shared" si="2"/>
        <v>20 July 2017</v>
      </c>
      <c r="AA8" s="130" t="str">
        <f t="shared" si="3"/>
        <v>26 September 2018</v>
      </c>
      <c r="AB8" s="130" t="str">
        <f t="shared" si="3"/>
        <v>28 February 2018</v>
      </c>
      <c r="AC8" s="130" t="str">
        <f t="shared" si="3"/>
        <v>26 September 2018</v>
      </c>
      <c r="AD8" s="130" t="str">
        <f t="shared" si="3"/>
        <v>25 July 2018</v>
      </c>
      <c r="AE8" s="130" t="str">
        <f t="shared" si="4"/>
        <v>26 September 2018</v>
      </c>
      <c r="AF8" s="130" t="str">
        <f t="shared" si="4"/>
        <v>28 February 2018</v>
      </c>
      <c r="AG8" s="130" t="str">
        <f t="shared" si="4"/>
        <v>26 September 2018</v>
      </c>
      <c r="AH8" s="130" t="str">
        <f t="shared" si="5"/>
        <v>28 February 2018</v>
      </c>
      <c r="AI8" s="130" t="str">
        <f>IF(N8&lt;&gt;"",N8,"")</f>
        <v>28 May 2013</v>
      </c>
      <c r="AJ8" s="130" t="str">
        <f t="shared" si="11"/>
        <v>28 February 2018</v>
      </c>
      <c r="AK8" s="130" t="str">
        <f t="shared" si="11"/>
        <v>12 May 2015</v>
      </c>
      <c r="AL8" s="122"/>
      <c r="AM8" s="122" t="str">
        <f t="shared" si="7"/>
        <v>12 May 2015</v>
      </c>
      <c r="AN8" s="14"/>
      <c r="AO8" s="2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row>
    <row r="9" spans="1:74" s="78" customFormat="1" ht="20.100000000000001" customHeight="1" thickTop="1">
      <c r="A9" s="238"/>
      <c r="B9" s="135" t="s">
        <v>0</v>
      </c>
      <c r="C9" s="135" t="s">
        <v>0</v>
      </c>
      <c r="D9" s="135" t="s">
        <v>0</v>
      </c>
      <c r="E9" s="135" t="s">
        <v>0</v>
      </c>
      <c r="F9" s="135" t="s">
        <v>1051</v>
      </c>
      <c r="G9" s="135" t="s">
        <v>1051</v>
      </c>
      <c r="H9" s="135" t="s">
        <v>0</v>
      </c>
      <c r="I9" s="135" t="s">
        <v>3091</v>
      </c>
      <c r="J9" s="135" t="s">
        <v>0</v>
      </c>
      <c r="K9" s="135" t="s">
        <v>0</v>
      </c>
      <c r="L9" s="135" t="s">
        <v>3137</v>
      </c>
      <c r="M9" s="135" t="s">
        <v>0</v>
      </c>
      <c r="N9" s="135" t="s">
        <v>0</v>
      </c>
      <c r="O9" s="135" t="s">
        <v>0</v>
      </c>
      <c r="P9" s="135" t="s">
        <v>0</v>
      </c>
      <c r="Q9" s="135" t="s">
        <v>0</v>
      </c>
      <c r="R9" s="135" t="s">
        <v>0</v>
      </c>
      <c r="S9" s="136" t="str">
        <f>'Connector A'!S9</f>
        <v>Pin Type (*11)</v>
      </c>
      <c r="T9" s="163" t="s">
        <v>254</v>
      </c>
      <c r="U9" s="164" t="s">
        <v>253</v>
      </c>
      <c r="V9" s="136" t="str">
        <f>IF(S9&lt;&gt;"",S9,"")</f>
        <v>Pin Type (*11)</v>
      </c>
      <c r="W9" s="135" t="s">
        <v>0</v>
      </c>
      <c r="X9" s="135" t="s">
        <v>0</v>
      </c>
      <c r="Y9" s="135" t="s">
        <v>0</v>
      </c>
      <c r="Z9" s="135" t="s">
        <v>0</v>
      </c>
      <c r="AA9" s="135" t="s">
        <v>1051</v>
      </c>
      <c r="AB9" s="135" t="s">
        <v>1051</v>
      </c>
      <c r="AC9" s="135" t="s">
        <v>0</v>
      </c>
      <c r="AD9" s="135" t="s">
        <v>3091</v>
      </c>
      <c r="AE9" s="135" t="s">
        <v>0</v>
      </c>
      <c r="AF9" s="135" t="s">
        <v>0</v>
      </c>
      <c r="AG9" s="135" t="s">
        <v>3137</v>
      </c>
      <c r="AH9" s="135" t="s">
        <v>0</v>
      </c>
      <c r="AI9" s="135" t="s">
        <v>0</v>
      </c>
      <c r="AJ9" s="135" t="s">
        <v>0</v>
      </c>
      <c r="AK9" s="135" t="s">
        <v>0</v>
      </c>
      <c r="AL9" s="123"/>
      <c r="AM9" s="123" t="s">
        <v>0</v>
      </c>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row>
    <row r="10" spans="1:74" ht="14.1" customHeight="1">
      <c r="A10" s="238"/>
      <c r="B10" s="188" t="s">
        <v>2</v>
      </c>
      <c r="C10" s="189" t="s">
        <v>2</v>
      </c>
      <c r="D10" s="189" t="s">
        <v>2</v>
      </c>
      <c r="E10" s="189" t="s">
        <v>2</v>
      </c>
      <c r="F10" s="188" t="s">
        <v>2</v>
      </c>
      <c r="G10" s="188" t="s">
        <v>2</v>
      </c>
      <c r="H10" s="190" t="s">
        <v>2</v>
      </c>
      <c r="I10" s="191" t="s">
        <v>2</v>
      </c>
      <c r="J10" s="191" t="s">
        <v>2</v>
      </c>
      <c r="K10" s="192" t="s">
        <v>2</v>
      </c>
      <c r="L10" s="192" t="s">
        <v>2</v>
      </c>
      <c r="M10" s="191" t="s">
        <v>2</v>
      </c>
      <c r="N10" s="192" t="s">
        <v>2</v>
      </c>
      <c r="O10" s="192" t="s">
        <v>2</v>
      </c>
      <c r="P10" s="192" t="s">
        <v>2</v>
      </c>
      <c r="Q10" s="192" t="s">
        <v>2</v>
      </c>
      <c r="R10" s="192" t="s">
        <v>2</v>
      </c>
      <c r="S10" s="192" t="s">
        <v>2</v>
      </c>
      <c r="T10" s="165">
        <v>1</v>
      </c>
      <c r="U10" s="166">
        <v>2</v>
      </c>
      <c r="V10" s="192" t="s">
        <v>2</v>
      </c>
      <c r="W10" s="192" t="s">
        <v>2</v>
      </c>
      <c r="X10" s="192" t="s">
        <v>2</v>
      </c>
      <c r="Y10" s="192" t="s">
        <v>2</v>
      </c>
      <c r="Z10" s="192" t="s">
        <v>2</v>
      </c>
      <c r="AA10" s="159" t="s">
        <v>2</v>
      </c>
      <c r="AB10" s="159" t="s">
        <v>2</v>
      </c>
      <c r="AC10" s="162" t="s">
        <v>2</v>
      </c>
      <c r="AD10" s="138" t="s">
        <v>2</v>
      </c>
      <c r="AE10" s="138" t="s">
        <v>2</v>
      </c>
      <c r="AF10" s="137" t="s">
        <v>2</v>
      </c>
      <c r="AG10" s="138" t="s">
        <v>2</v>
      </c>
      <c r="AH10" s="138" t="s">
        <v>2</v>
      </c>
      <c r="AI10" s="138" t="s">
        <v>2</v>
      </c>
      <c r="AJ10" s="138" t="s">
        <v>2</v>
      </c>
      <c r="AK10" s="138" t="s">
        <v>2</v>
      </c>
      <c r="AL10" s="37"/>
      <c r="AM10" s="37" t="s">
        <v>2</v>
      </c>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row>
    <row r="11" spans="1:74" ht="14.1" customHeight="1">
      <c r="A11" s="139" t="s">
        <v>2032</v>
      </c>
      <c r="B11" s="140" t="s">
        <v>239</v>
      </c>
      <c r="C11" s="193" t="s">
        <v>378</v>
      </c>
      <c r="D11" s="144" t="s">
        <v>1854</v>
      </c>
      <c r="E11" s="144" t="s">
        <v>2203</v>
      </c>
      <c r="F11" s="140" t="s">
        <v>730</v>
      </c>
      <c r="G11" s="144" t="s">
        <v>1302</v>
      </c>
      <c r="H11" s="184" t="s">
        <v>2356</v>
      </c>
      <c r="I11" s="198" t="s">
        <v>3095</v>
      </c>
      <c r="J11" s="144" t="s">
        <v>3068</v>
      </c>
      <c r="K11" s="144" t="s">
        <v>1352</v>
      </c>
      <c r="L11" s="144" t="s">
        <v>2897</v>
      </c>
      <c r="M11" s="140" t="s">
        <v>800</v>
      </c>
      <c r="N11" s="193" t="s">
        <v>122</v>
      </c>
      <c r="O11" s="140" t="s">
        <v>732</v>
      </c>
      <c r="P11" s="140"/>
      <c r="Q11" s="140" t="s">
        <v>1830</v>
      </c>
      <c r="R11" s="140" t="s">
        <v>1830</v>
      </c>
      <c r="S11" s="144" t="s">
        <v>32</v>
      </c>
      <c r="T11" s="165">
        <v>3</v>
      </c>
      <c r="U11" s="166">
        <v>4</v>
      </c>
      <c r="V11" s="144" t="s">
        <v>36</v>
      </c>
      <c r="W11" s="144" t="s">
        <v>1503</v>
      </c>
      <c r="X11" s="193" t="s">
        <v>444</v>
      </c>
      <c r="Y11" s="144" t="s">
        <v>2826</v>
      </c>
      <c r="Z11" s="144" t="s">
        <v>2221</v>
      </c>
      <c r="AA11" s="142" t="s">
        <v>2802</v>
      </c>
      <c r="AB11" s="142" t="s">
        <v>1282</v>
      </c>
      <c r="AC11" s="158" t="s">
        <v>2410</v>
      </c>
      <c r="AD11" s="223" t="s">
        <v>3115</v>
      </c>
      <c r="AE11" s="145" t="s">
        <v>2410</v>
      </c>
      <c r="AF11" s="142" t="s">
        <v>1364</v>
      </c>
      <c r="AG11" s="145" t="s">
        <v>2931</v>
      </c>
      <c r="AH11" s="145" t="s">
        <v>445</v>
      </c>
      <c r="AI11" s="145" t="s">
        <v>445</v>
      </c>
      <c r="AJ11" s="145" t="s">
        <v>445</v>
      </c>
      <c r="AK11" s="145" t="s">
        <v>445</v>
      </c>
      <c r="AL11" s="82"/>
      <c r="AM11" s="82" t="s">
        <v>1796</v>
      </c>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row>
    <row r="12" spans="1:74" ht="14.1" customHeight="1">
      <c r="A12" s="147" t="s">
        <v>2033</v>
      </c>
      <c r="B12" s="140" t="s">
        <v>239</v>
      </c>
      <c r="C12" s="193" t="s">
        <v>379</v>
      </c>
      <c r="D12" s="144" t="s">
        <v>1855</v>
      </c>
      <c r="E12" s="144" t="s">
        <v>2204</v>
      </c>
      <c r="F12" s="140" t="s">
        <v>733</v>
      </c>
      <c r="G12" s="144" t="s">
        <v>1303</v>
      </c>
      <c r="H12" s="184" t="s">
        <v>2357</v>
      </c>
      <c r="I12" s="198" t="s">
        <v>3096</v>
      </c>
      <c r="J12" s="144" t="s">
        <v>3069</v>
      </c>
      <c r="K12" s="144" t="s">
        <v>1353</v>
      </c>
      <c r="L12" s="144" t="s">
        <v>2898</v>
      </c>
      <c r="M12" s="140" t="s">
        <v>1043</v>
      </c>
      <c r="N12" s="193" t="s">
        <v>120</v>
      </c>
      <c r="O12" s="140" t="s">
        <v>735</v>
      </c>
      <c r="P12" s="140"/>
      <c r="Q12" s="140" t="s">
        <v>1833</v>
      </c>
      <c r="R12" s="140" t="s">
        <v>1833</v>
      </c>
      <c r="S12" s="144" t="s">
        <v>33</v>
      </c>
      <c r="T12" s="165">
        <v>5</v>
      </c>
      <c r="U12" s="166">
        <v>6</v>
      </c>
      <c r="V12" s="144" t="s">
        <v>37</v>
      </c>
      <c r="W12" s="144" t="s">
        <v>1504</v>
      </c>
      <c r="X12" s="193" t="s">
        <v>446</v>
      </c>
      <c r="Y12" s="144" t="s">
        <v>2827</v>
      </c>
      <c r="Z12" s="144" t="s">
        <v>2222</v>
      </c>
      <c r="AA12" s="142" t="s">
        <v>2803</v>
      </c>
      <c r="AB12" s="142" t="s">
        <v>1283</v>
      </c>
      <c r="AC12" s="158" t="s">
        <v>2411</v>
      </c>
      <c r="AD12" s="223" t="s">
        <v>3116</v>
      </c>
      <c r="AE12" s="145" t="s">
        <v>2411</v>
      </c>
      <c r="AF12" s="142" t="s">
        <v>2578</v>
      </c>
      <c r="AG12" s="145" t="s">
        <v>2932</v>
      </c>
      <c r="AH12" s="145" t="s">
        <v>447</v>
      </c>
      <c r="AI12" s="145" t="s">
        <v>447</v>
      </c>
      <c r="AJ12" s="145" t="s">
        <v>447</v>
      </c>
      <c r="AK12" s="145" t="s">
        <v>447</v>
      </c>
      <c r="AL12" s="82"/>
      <c r="AM12" s="82" t="s">
        <v>1797</v>
      </c>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row>
    <row r="13" spans="1:74" ht="14.1" customHeight="1">
      <c r="A13" s="148"/>
      <c r="B13" s="140" t="s">
        <v>239</v>
      </c>
      <c r="C13" s="193" t="s">
        <v>380</v>
      </c>
      <c r="D13" s="193" t="s">
        <v>1856</v>
      </c>
      <c r="E13" s="144" t="s">
        <v>2205</v>
      </c>
      <c r="F13" s="140" t="s">
        <v>736</v>
      </c>
      <c r="G13" s="140" t="s">
        <v>1132</v>
      </c>
      <c r="H13" s="184" t="s">
        <v>2358</v>
      </c>
      <c r="I13" s="198" t="s">
        <v>3097</v>
      </c>
      <c r="J13" s="144" t="s">
        <v>2358</v>
      </c>
      <c r="K13" s="144" t="s">
        <v>1354</v>
      </c>
      <c r="L13" s="144" t="s">
        <v>2899</v>
      </c>
      <c r="M13" s="140" t="s">
        <v>845</v>
      </c>
      <c r="N13" s="193" t="s">
        <v>126</v>
      </c>
      <c r="O13" s="140" t="s">
        <v>738</v>
      </c>
      <c r="P13" s="140"/>
      <c r="Q13" s="140" t="s">
        <v>1831</v>
      </c>
      <c r="R13" s="140" t="s">
        <v>1831</v>
      </c>
      <c r="S13" s="193" t="s">
        <v>10</v>
      </c>
      <c r="T13" s="165">
        <v>7</v>
      </c>
      <c r="U13" s="166">
        <v>8</v>
      </c>
      <c r="V13" s="194" t="s">
        <v>7</v>
      </c>
      <c r="W13" s="194" t="s">
        <v>5</v>
      </c>
      <c r="X13" s="189" t="s">
        <v>2</v>
      </c>
      <c r="Y13" s="194" t="s">
        <v>805</v>
      </c>
      <c r="Z13" s="194" t="s">
        <v>805</v>
      </c>
      <c r="AA13" s="149" t="s">
        <v>806</v>
      </c>
      <c r="AB13" s="149" t="s">
        <v>806</v>
      </c>
      <c r="AC13" s="153" t="s">
        <v>5</v>
      </c>
      <c r="AD13" s="150" t="s">
        <v>5</v>
      </c>
      <c r="AE13" s="150" t="s">
        <v>2933</v>
      </c>
      <c r="AF13" s="149" t="s">
        <v>805</v>
      </c>
      <c r="AG13" s="150" t="s">
        <v>2933</v>
      </c>
      <c r="AH13" s="150" t="s">
        <v>806</v>
      </c>
      <c r="AI13" s="138" t="s">
        <v>2</v>
      </c>
      <c r="AJ13" s="150" t="s">
        <v>807</v>
      </c>
      <c r="AK13" s="150" t="s">
        <v>807</v>
      </c>
      <c r="AL13" s="38"/>
      <c r="AM13" s="38" t="s">
        <v>807</v>
      </c>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row>
    <row r="14" spans="1:74" ht="14.1" customHeight="1">
      <c r="A14" s="148"/>
      <c r="B14" s="140" t="s">
        <v>239</v>
      </c>
      <c r="C14" s="193" t="s">
        <v>381</v>
      </c>
      <c r="D14" s="193" t="s">
        <v>1857</v>
      </c>
      <c r="E14" s="144" t="s">
        <v>2206</v>
      </c>
      <c r="F14" s="140" t="s">
        <v>739</v>
      </c>
      <c r="G14" s="140" t="s">
        <v>1133</v>
      </c>
      <c r="H14" s="184" t="s">
        <v>2359</v>
      </c>
      <c r="I14" s="198" t="s">
        <v>3098</v>
      </c>
      <c r="J14" s="144" t="s">
        <v>2359</v>
      </c>
      <c r="K14" s="144" t="s">
        <v>1355</v>
      </c>
      <c r="L14" s="144" t="s">
        <v>2900</v>
      </c>
      <c r="M14" s="140" t="s">
        <v>1044</v>
      </c>
      <c r="N14" s="193" t="s">
        <v>124</v>
      </c>
      <c r="O14" s="140" t="s">
        <v>741</v>
      </c>
      <c r="P14" s="140"/>
      <c r="Q14" s="140" t="s">
        <v>1832</v>
      </c>
      <c r="R14" s="140" t="s">
        <v>1832</v>
      </c>
      <c r="S14" s="193" t="s">
        <v>11</v>
      </c>
      <c r="T14" s="165">
        <v>9</v>
      </c>
      <c r="U14" s="166">
        <v>10</v>
      </c>
      <c r="V14" s="144" t="s">
        <v>36</v>
      </c>
      <c r="W14" s="144" t="s">
        <v>1477</v>
      </c>
      <c r="X14" s="193" t="s">
        <v>448</v>
      </c>
      <c r="Y14" s="144" t="s">
        <v>2828</v>
      </c>
      <c r="Z14" s="144" t="s">
        <v>2223</v>
      </c>
      <c r="AA14" s="142" t="s">
        <v>2804</v>
      </c>
      <c r="AB14" s="142" t="s">
        <v>1284</v>
      </c>
      <c r="AC14" s="158" t="s">
        <v>2412</v>
      </c>
      <c r="AD14" s="223" t="s">
        <v>3117</v>
      </c>
      <c r="AE14" s="145" t="s">
        <v>3078</v>
      </c>
      <c r="AF14" s="142" t="s">
        <v>1365</v>
      </c>
      <c r="AG14" s="145" t="s">
        <v>2934</v>
      </c>
      <c r="AH14" s="145" t="s">
        <v>449</v>
      </c>
      <c r="AI14" s="145" t="s">
        <v>449</v>
      </c>
      <c r="AJ14" s="145" t="s">
        <v>449</v>
      </c>
      <c r="AK14" s="145" t="s">
        <v>449</v>
      </c>
      <c r="AL14" s="82"/>
      <c r="AM14" s="82" t="s">
        <v>1794</v>
      </c>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row>
    <row r="15" spans="1:74" ht="14.1" customHeight="1">
      <c r="A15" s="148"/>
      <c r="B15" s="189" t="s">
        <v>2</v>
      </c>
      <c r="C15" s="189" t="s">
        <v>2</v>
      </c>
      <c r="D15" s="189" t="s">
        <v>2</v>
      </c>
      <c r="E15" s="189" t="s">
        <v>2</v>
      </c>
      <c r="F15" s="189" t="s">
        <v>2</v>
      </c>
      <c r="G15" s="189" t="s">
        <v>2</v>
      </c>
      <c r="H15" s="180" t="s">
        <v>2</v>
      </c>
      <c r="I15" s="188" t="s">
        <v>2</v>
      </c>
      <c r="J15" s="188" t="s">
        <v>2</v>
      </c>
      <c r="K15" s="189" t="s">
        <v>2</v>
      </c>
      <c r="L15" s="189" t="s">
        <v>2</v>
      </c>
      <c r="M15" s="188" t="s">
        <v>2</v>
      </c>
      <c r="N15" s="189" t="s">
        <v>2</v>
      </c>
      <c r="O15" s="189" t="s">
        <v>2</v>
      </c>
      <c r="P15" s="189" t="s">
        <v>2</v>
      </c>
      <c r="Q15" s="189" t="s">
        <v>2</v>
      </c>
      <c r="R15" s="189" t="s">
        <v>2</v>
      </c>
      <c r="S15" s="189" t="s">
        <v>2</v>
      </c>
      <c r="T15" s="165">
        <v>11</v>
      </c>
      <c r="U15" s="166">
        <v>12</v>
      </c>
      <c r="V15" s="144" t="s">
        <v>37</v>
      </c>
      <c r="W15" s="144" t="s">
        <v>1478</v>
      </c>
      <c r="X15" s="193" t="s">
        <v>450</v>
      </c>
      <c r="Y15" s="144" t="s">
        <v>2829</v>
      </c>
      <c r="Z15" s="144" t="s">
        <v>2224</v>
      </c>
      <c r="AA15" s="142" t="s">
        <v>2805</v>
      </c>
      <c r="AB15" s="142" t="s">
        <v>1285</v>
      </c>
      <c r="AC15" s="158" t="s">
        <v>2413</v>
      </c>
      <c r="AD15" s="223" t="s">
        <v>3118</v>
      </c>
      <c r="AE15" s="145" t="s">
        <v>3079</v>
      </c>
      <c r="AF15" s="142" t="s">
        <v>1366</v>
      </c>
      <c r="AG15" s="145" t="s">
        <v>2935</v>
      </c>
      <c r="AH15" s="145" t="s">
        <v>451</v>
      </c>
      <c r="AI15" s="145" t="s">
        <v>451</v>
      </c>
      <c r="AJ15" s="145" t="s">
        <v>451</v>
      </c>
      <c r="AK15" s="145" t="s">
        <v>451</v>
      </c>
      <c r="AL15" s="82"/>
      <c r="AM15" s="82" t="s">
        <v>1795</v>
      </c>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row>
    <row r="16" spans="1:74" ht="14.1" customHeight="1">
      <c r="A16" s="148"/>
      <c r="B16" s="140" t="s">
        <v>1512</v>
      </c>
      <c r="C16" s="193" t="s">
        <v>382</v>
      </c>
      <c r="D16" s="193" t="s">
        <v>2818</v>
      </c>
      <c r="E16" s="193" t="s">
        <v>2207</v>
      </c>
      <c r="F16" s="140" t="s">
        <v>2778</v>
      </c>
      <c r="G16" s="140" t="s">
        <v>1304</v>
      </c>
      <c r="H16" s="182" t="s">
        <v>2360</v>
      </c>
      <c r="I16" s="185" t="s">
        <v>3099</v>
      </c>
      <c r="J16" s="193" t="s">
        <v>2360</v>
      </c>
      <c r="K16" s="193" t="s">
        <v>1356</v>
      </c>
      <c r="L16" s="193" t="s">
        <v>2901</v>
      </c>
      <c r="M16" s="193" t="s">
        <v>383</v>
      </c>
      <c r="N16" s="193" t="s">
        <v>384</v>
      </c>
      <c r="O16" s="140" t="s">
        <v>383</v>
      </c>
      <c r="P16" s="140" t="s">
        <v>383</v>
      </c>
      <c r="Q16" s="140" t="s">
        <v>383</v>
      </c>
      <c r="R16" s="140" t="s">
        <v>383</v>
      </c>
      <c r="S16" s="193" t="s">
        <v>38</v>
      </c>
      <c r="T16" s="165">
        <v>13</v>
      </c>
      <c r="U16" s="166">
        <v>14</v>
      </c>
      <c r="V16" s="189" t="s">
        <v>2</v>
      </c>
      <c r="W16" s="189" t="s">
        <v>2</v>
      </c>
      <c r="X16" s="189" t="s">
        <v>2</v>
      </c>
      <c r="Y16" s="189" t="s">
        <v>2</v>
      </c>
      <c r="Z16" s="189" t="s">
        <v>2</v>
      </c>
      <c r="AA16" s="137" t="s">
        <v>2</v>
      </c>
      <c r="AB16" s="137" t="s">
        <v>2</v>
      </c>
      <c r="AC16" s="155" t="s">
        <v>2</v>
      </c>
      <c r="AD16" s="138" t="s">
        <v>2</v>
      </c>
      <c r="AE16" s="138" t="s">
        <v>2</v>
      </c>
      <c r="AF16" s="137" t="s">
        <v>2</v>
      </c>
      <c r="AG16" s="138" t="s">
        <v>2</v>
      </c>
      <c r="AH16" s="138" t="s">
        <v>2</v>
      </c>
      <c r="AI16" s="138" t="s">
        <v>2</v>
      </c>
      <c r="AJ16" s="138" t="s">
        <v>2</v>
      </c>
      <c r="AK16" s="138" t="s">
        <v>2</v>
      </c>
      <c r="AL16" s="37"/>
      <c r="AM16" s="37" t="s">
        <v>2</v>
      </c>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row>
    <row r="17" spans="1:74" ht="14.1" customHeight="1">
      <c r="A17" s="148"/>
      <c r="B17" s="189" t="s">
        <v>2</v>
      </c>
      <c r="C17" s="189" t="s">
        <v>2</v>
      </c>
      <c r="D17" s="189" t="s">
        <v>2</v>
      </c>
      <c r="E17" s="189" t="s">
        <v>2</v>
      </c>
      <c r="F17" s="189" t="s">
        <v>2</v>
      </c>
      <c r="G17" s="189" t="s">
        <v>2</v>
      </c>
      <c r="H17" s="180" t="s">
        <v>2</v>
      </c>
      <c r="I17" s="189" t="s">
        <v>2</v>
      </c>
      <c r="J17" s="189" t="s">
        <v>2</v>
      </c>
      <c r="K17" s="189" t="s">
        <v>2</v>
      </c>
      <c r="L17" s="189" t="s">
        <v>2</v>
      </c>
      <c r="M17" s="189" t="s">
        <v>2</v>
      </c>
      <c r="N17" s="189" t="s">
        <v>2</v>
      </c>
      <c r="O17" s="189" t="s">
        <v>2</v>
      </c>
      <c r="P17" s="189" t="s">
        <v>2</v>
      </c>
      <c r="Q17" s="189" t="s">
        <v>2</v>
      </c>
      <c r="R17" s="189" t="s">
        <v>2</v>
      </c>
      <c r="S17" s="189" t="s">
        <v>2</v>
      </c>
      <c r="T17" s="165">
        <v>15</v>
      </c>
      <c r="U17" s="166">
        <v>16</v>
      </c>
      <c r="V17" s="193" t="s">
        <v>34</v>
      </c>
      <c r="W17" s="140" t="s">
        <v>1514</v>
      </c>
      <c r="X17" s="193" t="s">
        <v>452</v>
      </c>
      <c r="Y17" s="193" t="s">
        <v>2830</v>
      </c>
      <c r="Z17" s="193" t="s">
        <v>2225</v>
      </c>
      <c r="AA17" s="143" t="s">
        <v>2806</v>
      </c>
      <c r="AB17" s="143" t="s">
        <v>1286</v>
      </c>
      <c r="AC17" s="154" t="s">
        <v>2414</v>
      </c>
      <c r="AD17" s="42" t="s">
        <v>3119</v>
      </c>
      <c r="AE17" s="146" t="s">
        <v>2414</v>
      </c>
      <c r="AF17" s="141" t="s">
        <v>1367</v>
      </c>
      <c r="AG17" s="146" t="s">
        <v>2936</v>
      </c>
      <c r="AH17" s="146" t="s">
        <v>453</v>
      </c>
      <c r="AI17" s="146" t="s">
        <v>454</v>
      </c>
      <c r="AJ17" s="151" t="s">
        <v>453</v>
      </c>
      <c r="AK17" s="151" t="s">
        <v>453</v>
      </c>
      <c r="AL17" s="57"/>
      <c r="AM17" s="57" t="s">
        <v>453</v>
      </c>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row>
    <row r="18" spans="1:74" ht="14.1" customHeight="1">
      <c r="A18" s="148"/>
      <c r="B18" s="140" t="s">
        <v>1511</v>
      </c>
      <c r="C18" s="193" t="s">
        <v>385</v>
      </c>
      <c r="D18" s="193" t="s">
        <v>2819</v>
      </c>
      <c r="E18" s="193" t="s">
        <v>2208</v>
      </c>
      <c r="F18" s="140" t="s">
        <v>2779</v>
      </c>
      <c r="G18" s="140" t="s">
        <v>1305</v>
      </c>
      <c r="H18" s="182" t="s">
        <v>2361</v>
      </c>
      <c r="I18" s="185" t="s">
        <v>3100</v>
      </c>
      <c r="J18" s="193" t="s">
        <v>2361</v>
      </c>
      <c r="K18" s="193" t="s">
        <v>1357</v>
      </c>
      <c r="L18" s="193" t="s">
        <v>2902</v>
      </c>
      <c r="M18" s="193" t="s">
        <v>386</v>
      </c>
      <c r="N18" s="193" t="s">
        <v>387</v>
      </c>
      <c r="O18" s="140" t="s">
        <v>386</v>
      </c>
      <c r="P18" s="140" t="s">
        <v>386</v>
      </c>
      <c r="Q18" s="140" t="s">
        <v>386</v>
      </c>
      <c r="R18" s="140" t="s">
        <v>386</v>
      </c>
      <c r="S18" s="193" t="s">
        <v>39</v>
      </c>
      <c r="T18" s="165">
        <v>17</v>
      </c>
      <c r="U18" s="166">
        <v>18</v>
      </c>
      <c r="V18" s="189" t="s">
        <v>2</v>
      </c>
      <c r="W18" s="189" t="s">
        <v>2</v>
      </c>
      <c r="X18" s="189" t="s">
        <v>2</v>
      </c>
      <c r="Y18" s="189" t="s">
        <v>2</v>
      </c>
      <c r="Z18" s="189" t="s">
        <v>2</v>
      </c>
      <c r="AA18" s="137" t="s">
        <v>2</v>
      </c>
      <c r="AB18" s="137" t="s">
        <v>2</v>
      </c>
      <c r="AC18" s="155" t="s">
        <v>2</v>
      </c>
      <c r="AD18" s="138" t="s">
        <v>2</v>
      </c>
      <c r="AE18" s="138" t="s">
        <v>2</v>
      </c>
      <c r="AF18" s="137" t="s">
        <v>2</v>
      </c>
      <c r="AG18" s="138" t="s">
        <v>2</v>
      </c>
      <c r="AH18" s="138" t="s">
        <v>2</v>
      </c>
      <c r="AI18" s="138" t="s">
        <v>2</v>
      </c>
      <c r="AJ18" s="138" t="s">
        <v>2</v>
      </c>
      <c r="AK18" s="138" t="s">
        <v>2</v>
      </c>
      <c r="AL18" s="37"/>
      <c r="AM18" s="37" t="s">
        <v>2</v>
      </c>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row>
    <row r="19" spans="1:74" ht="14.1" customHeight="1">
      <c r="A19" s="148"/>
      <c r="B19" s="189" t="s">
        <v>2</v>
      </c>
      <c r="C19" s="189" t="s">
        <v>2</v>
      </c>
      <c r="D19" s="189" t="s">
        <v>2</v>
      </c>
      <c r="E19" s="189" t="s">
        <v>2</v>
      </c>
      <c r="F19" s="189" t="s">
        <v>2</v>
      </c>
      <c r="G19" s="189" t="s">
        <v>2</v>
      </c>
      <c r="H19" s="180" t="s">
        <v>2</v>
      </c>
      <c r="I19" s="189" t="s">
        <v>2</v>
      </c>
      <c r="J19" s="189" t="s">
        <v>2</v>
      </c>
      <c r="K19" s="189" t="s">
        <v>2</v>
      </c>
      <c r="L19" s="189" t="s">
        <v>2</v>
      </c>
      <c r="M19" s="189" t="s">
        <v>2</v>
      </c>
      <c r="N19" s="189" t="s">
        <v>2</v>
      </c>
      <c r="O19" s="189" t="s">
        <v>2</v>
      </c>
      <c r="P19" s="189" t="s">
        <v>2</v>
      </c>
      <c r="Q19" s="189" t="s">
        <v>2</v>
      </c>
      <c r="R19" s="189" t="s">
        <v>2</v>
      </c>
      <c r="S19" s="189" t="s">
        <v>2</v>
      </c>
      <c r="T19" s="165">
        <v>19</v>
      </c>
      <c r="U19" s="166">
        <v>20</v>
      </c>
      <c r="V19" s="193" t="s">
        <v>35</v>
      </c>
      <c r="W19" s="140" t="s">
        <v>1513</v>
      </c>
      <c r="X19" s="193" t="s">
        <v>455</v>
      </c>
      <c r="Y19" s="193" t="s">
        <v>2831</v>
      </c>
      <c r="Z19" s="193" t="s">
        <v>2226</v>
      </c>
      <c r="AA19" s="143" t="s">
        <v>2807</v>
      </c>
      <c r="AB19" s="143" t="s">
        <v>1287</v>
      </c>
      <c r="AC19" s="154" t="s">
        <v>2415</v>
      </c>
      <c r="AD19" s="42" t="s">
        <v>3120</v>
      </c>
      <c r="AE19" s="146" t="s">
        <v>2415</v>
      </c>
      <c r="AF19" s="141" t="s">
        <v>1368</v>
      </c>
      <c r="AG19" s="146" t="s">
        <v>2937</v>
      </c>
      <c r="AH19" s="146" t="s">
        <v>456</v>
      </c>
      <c r="AI19" s="146" t="s">
        <v>457</v>
      </c>
      <c r="AJ19" s="151" t="s">
        <v>456</v>
      </c>
      <c r="AK19" s="151" t="s">
        <v>456</v>
      </c>
      <c r="AL19" s="57"/>
      <c r="AM19" s="57" t="s">
        <v>456</v>
      </c>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row>
    <row r="20" spans="1:74" ht="14.1" customHeight="1">
      <c r="A20" s="148"/>
      <c r="B20" s="140" t="s">
        <v>1508</v>
      </c>
      <c r="C20" s="193" t="s">
        <v>388</v>
      </c>
      <c r="D20" s="193" t="s">
        <v>2820</v>
      </c>
      <c r="E20" s="193" t="s">
        <v>2209</v>
      </c>
      <c r="F20" s="140" t="s">
        <v>2780</v>
      </c>
      <c r="G20" s="140" t="s">
        <v>1306</v>
      </c>
      <c r="H20" s="182" t="s">
        <v>2362</v>
      </c>
      <c r="I20" s="185" t="s">
        <v>3101</v>
      </c>
      <c r="J20" s="193" t="s">
        <v>2362</v>
      </c>
      <c r="K20" s="193" t="s">
        <v>1358</v>
      </c>
      <c r="L20" s="193" t="s">
        <v>2903</v>
      </c>
      <c r="M20" s="193" t="s">
        <v>389</v>
      </c>
      <c r="N20" s="193" t="s">
        <v>390</v>
      </c>
      <c r="O20" s="140" t="s">
        <v>389</v>
      </c>
      <c r="P20" s="140" t="s">
        <v>389</v>
      </c>
      <c r="Q20" s="140" t="s">
        <v>389</v>
      </c>
      <c r="R20" s="140" t="s">
        <v>389</v>
      </c>
      <c r="S20" s="193" t="s">
        <v>38</v>
      </c>
      <c r="T20" s="165">
        <v>21</v>
      </c>
      <c r="U20" s="166">
        <v>22</v>
      </c>
      <c r="V20" s="189" t="s">
        <v>2</v>
      </c>
      <c r="W20" s="189" t="s">
        <v>2</v>
      </c>
      <c r="X20" s="189" t="s">
        <v>2</v>
      </c>
      <c r="Y20" s="189" t="s">
        <v>2</v>
      </c>
      <c r="Z20" s="189" t="s">
        <v>2</v>
      </c>
      <c r="AA20" s="137" t="s">
        <v>2</v>
      </c>
      <c r="AB20" s="137" t="s">
        <v>2</v>
      </c>
      <c r="AC20" s="155" t="s">
        <v>2</v>
      </c>
      <c r="AD20" s="138" t="s">
        <v>2</v>
      </c>
      <c r="AE20" s="138" t="s">
        <v>2</v>
      </c>
      <c r="AF20" s="137" t="s">
        <v>2</v>
      </c>
      <c r="AG20" s="138" t="s">
        <v>2</v>
      </c>
      <c r="AH20" s="138" t="s">
        <v>2</v>
      </c>
      <c r="AI20" s="138" t="s">
        <v>2</v>
      </c>
      <c r="AJ20" s="138" t="s">
        <v>2</v>
      </c>
      <c r="AK20" s="138" t="s">
        <v>2</v>
      </c>
      <c r="AL20" s="37"/>
      <c r="AM20" s="37" t="s">
        <v>2</v>
      </c>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row>
    <row r="21" spans="1:74" ht="14.1" customHeight="1">
      <c r="A21" s="148"/>
      <c r="B21" s="189" t="s">
        <v>2</v>
      </c>
      <c r="C21" s="189" t="s">
        <v>2</v>
      </c>
      <c r="D21" s="189" t="s">
        <v>2</v>
      </c>
      <c r="E21" s="189" t="s">
        <v>2</v>
      </c>
      <c r="F21" s="189" t="s">
        <v>2</v>
      </c>
      <c r="G21" s="189" t="s">
        <v>2</v>
      </c>
      <c r="H21" s="180" t="s">
        <v>2</v>
      </c>
      <c r="I21" s="189" t="s">
        <v>2</v>
      </c>
      <c r="J21" s="189" t="s">
        <v>2</v>
      </c>
      <c r="K21" s="189" t="s">
        <v>2</v>
      </c>
      <c r="L21" s="189" t="s">
        <v>2</v>
      </c>
      <c r="M21" s="189" t="s">
        <v>2</v>
      </c>
      <c r="N21" s="189" t="s">
        <v>2</v>
      </c>
      <c r="O21" s="189" t="s">
        <v>2</v>
      </c>
      <c r="P21" s="189" t="s">
        <v>2</v>
      </c>
      <c r="Q21" s="189" t="s">
        <v>2</v>
      </c>
      <c r="R21" s="189" t="s">
        <v>2</v>
      </c>
      <c r="S21" s="189" t="s">
        <v>2</v>
      </c>
      <c r="T21" s="165">
        <v>23</v>
      </c>
      <c r="U21" s="166">
        <v>24</v>
      </c>
      <c r="V21" s="193" t="s">
        <v>34</v>
      </c>
      <c r="W21" s="140" t="s">
        <v>1510</v>
      </c>
      <c r="X21" s="193" t="s">
        <v>458</v>
      </c>
      <c r="Y21" s="193" t="s">
        <v>2832</v>
      </c>
      <c r="Z21" s="193" t="s">
        <v>2227</v>
      </c>
      <c r="AA21" s="143" t="s">
        <v>2808</v>
      </c>
      <c r="AB21" s="143" t="s">
        <v>1288</v>
      </c>
      <c r="AC21" s="154" t="s">
        <v>2416</v>
      </c>
      <c r="AD21" s="42" t="s">
        <v>3121</v>
      </c>
      <c r="AE21" s="146" t="s">
        <v>2416</v>
      </c>
      <c r="AF21" s="141" t="s">
        <v>1369</v>
      </c>
      <c r="AG21" s="146" t="s">
        <v>2938</v>
      </c>
      <c r="AH21" s="146" t="s">
        <v>459</v>
      </c>
      <c r="AI21" s="146" t="s">
        <v>460</v>
      </c>
      <c r="AJ21" s="151" t="s">
        <v>459</v>
      </c>
      <c r="AK21" s="151" t="s">
        <v>459</v>
      </c>
      <c r="AL21" s="57"/>
      <c r="AM21" s="57" t="s">
        <v>459</v>
      </c>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row>
    <row r="22" spans="1:74" ht="14.1" customHeight="1">
      <c r="A22" s="148"/>
      <c r="B22" s="140" t="s">
        <v>1507</v>
      </c>
      <c r="C22" s="193" t="s">
        <v>391</v>
      </c>
      <c r="D22" s="193" t="s">
        <v>2821</v>
      </c>
      <c r="E22" s="193" t="s">
        <v>2210</v>
      </c>
      <c r="F22" s="140" t="s">
        <v>2781</v>
      </c>
      <c r="G22" s="140" t="s">
        <v>1307</v>
      </c>
      <c r="H22" s="182" t="s">
        <v>2363</v>
      </c>
      <c r="I22" s="185" t="s">
        <v>3102</v>
      </c>
      <c r="J22" s="193" t="s">
        <v>2363</v>
      </c>
      <c r="K22" s="193" t="s">
        <v>1359</v>
      </c>
      <c r="L22" s="193" t="s">
        <v>2904</v>
      </c>
      <c r="M22" s="193" t="s">
        <v>392</v>
      </c>
      <c r="N22" s="193" t="s">
        <v>393</v>
      </c>
      <c r="O22" s="140" t="s">
        <v>392</v>
      </c>
      <c r="P22" s="140" t="s">
        <v>392</v>
      </c>
      <c r="Q22" s="140" t="s">
        <v>392</v>
      </c>
      <c r="R22" s="140" t="s">
        <v>392</v>
      </c>
      <c r="S22" s="193" t="s">
        <v>39</v>
      </c>
      <c r="T22" s="165">
        <v>25</v>
      </c>
      <c r="U22" s="166">
        <v>26</v>
      </c>
      <c r="V22" s="189" t="s">
        <v>2</v>
      </c>
      <c r="W22" s="189" t="s">
        <v>2</v>
      </c>
      <c r="X22" s="189" t="s">
        <v>2</v>
      </c>
      <c r="Y22" s="189" t="s">
        <v>2</v>
      </c>
      <c r="Z22" s="189" t="s">
        <v>2</v>
      </c>
      <c r="AA22" s="137" t="s">
        <v>2</v>
      </c>
      <c r="AB22" s="137" t="s">
        <v>2</v>
      </c>
      <c r="AC22" s="155" t="s">
        <v>2</v>
      </c>
      <c r="AD22" s="138" t="s">
        <v>2</v>
      </c>
      <c r="AE22" s="138" t="s">
        <v>2</v>
      </c>
      <c r="AF22" s="137" t="s">
        <v>2</v>
      </c>
      <c r="AG22" s="138" t="s">
        <v>2</v>
      </c>
      <c r="AH22" s="138" t="s">
        <v>2</v>
      </c>
      <c r="AI22" s="138" t="s">
        <v>2</v>
      </c>
      <c r="AJ22" s="138" t="s">
        <v>2</v>
      </c>
      <c r="AK22" s="138" t="s">
        <v>2</v>
      </c>
      <c r="AL22" s="37"/>
      <c r="AM22" s="37" t="s">
        <v>2</v>
      </c>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row>
    <row r="23" spans="1:74" ht="14.1" customHeight="1">
      <c r="A23" s="148"/>
      <c r="B23" s="189" t="s">
        <v>2</v>
      </c>
      <c r="C23" s="189" t="s">
        <v>2</v>
      </c>
      <c r="D23" s="189" t="s">
        <v>2</v>
      </c>
      <c r="E23" s="189" t="s">
        <v>2</v>
      </c>
      <c r="F23" s="189" t="s">
        <v>2</v>
      </c>
      <c r="G23" s="189" t="s">
        <v>2</v>
      </c>
      <c r="H23" s="180" t="s">
        <v>2</v>
      </c>
      <c r="I23" s="189" t="s">
        <v>2</v>
      </c>
      <c r="J23" s="189" t="s">
        <v>2</v>
      </c>
      <c r="K23" s="189" t="s">
        <v>2</v>
      </c>
      <c r="L23" s="189" t="s">
        <v>2</v>
      </c>
      <c r="M23" s="189" t="s">
        <v>2</v>
      </c>
      <c r="N23" s="189" t="s">
        <v>2</v>
      </c>
      <c r="O23" s="189" t="s">
        <v>2</v>
      </c>
      <c r="P23" s="189" t="s">
        <v>2</v>
      </c>
      <c r="Q23" s="189" t="s">
        <v>2</v>
      </c>
      <c r="R23" s="189" t="s">
        <v>2</v>
      </c>
      <c r="S23" s="189" t="s">
        <v>2</v>
      </c>
      <c r="T23" s="165">
        <v>27</v>
      </c>
      <c r="U23" s="166">
        <v>28</v>
      </c>
      <c r="V23" s="193" t="s">
        <v>35</v>
      </c>
      <c r="W23" s="140" t="s">
        <v>1509</v>
      </c>
      <c r="X23" s="193" t="s">
        <v>461</v>
      </c>
      <c r="Y23" s="193" t="s">
        <v>2833</v>
      </c>
      <c r="Z23" s="193" t="s">
        <v>2228</v>
      </c>
      <c r="AA23" s="143" t="s">
        <v>2809</v>
      </c>
      <c r="AB23" s="143" t="s">
        <v>1289</v>
      </c>
      <c r="AC23" s="154" t="s">
        <v>2417</v>
      </c>
      <c r="AD23" s="42" t="s">
        <v>3122</v>
      </c>
      <c r="AE23" s="146" t="s">
        <v>2417</v>
      </c>
      <c r="AF23" s="141" t="s">
        <v>1370</v>
      </c>
      <c r="AG23" s="146" t="s">
        <v>2939</v>
      </c>
      <c r="AH23" s="146" t="s">
        <v>462</v>
      </c>
      <c r="AI23" s="146" t="s">
        <v>463</v>
      </c>
      <c r="AJ23" s="151" t="s">
        <v>462</v>
      </c>
      <c r="AK23" s="151" t="s">
        <v>462</v>
      </c>
      <c r="AL23" s="57"/>
      <c r="AM23" s="57" t="s">
        <v>462</v>
      </c>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row>
    <row r="24" spans="1:74" ht="14.1" customHeight="1">
      <c r="A24" s="148"/>
      <c r="B24" s="140" t="s">
        <v>1500</v>
      </c>
      <c r="C24" s="193" t="s">
        <v>349</v>
      </c>
      <c r="D24" s="193" t="s">
        <v>2822</v>
      </c>
      <c r="E24" s="193" t="s">
        <v>2211</v>
      </c>
      <c r="F24" s="140" t="s">
        <v>2782</v>
      </c>
      <c r="G24" s="140" t="s">
        <v>1308</v>
      </c>
      <c r="H24" s="182" t="s">
        <v>2364</v>
      </c>
      <c r="I24" s="185" t="s">
        <v>3103</v>
      </c>
      <c r="J24" s="193" t="s">
        <v>2364</v>
      </c>
      <c r="K24" s="193" t="s">
        <v>1360</v>
      </c>
      <c r="L24" s="193" t="s">
        <v>2905</v>
      </c>
      <c r="M24" s="193" t="s">
        <v>394</v>
      </c>
      <c r="N24" s="193" t="s">
        <v>395</v>
      </c>
      <c r="O24" s="140" t="s">
        <v>394</v>
      </c>
      <c r="P24" s="140" t="s">
        <v>394</v>
      </c>
      <c r="Q24" s="140" t="s">
        <v>394</v>
      </c>
      <c r="R24" s="140" t="s">
        <v>394</v>
      </c>
      <c r="S24" s="193" t="s">
        <v>38</v>
      </c>
      <c r="T24" s="165">
        <v>29</v>
      </c>
      <c r="U24" s="166">
        <v>30</v>
      </c>
      <c r="V24" s="189" t="s">
        <v>2</v>
      </c>
      <c r="W24" s="189" t="s">
        <v>2</v>
      </c>
      <c r="X24" s="189" t="s">
        <v>2</v>
      </c>
      <c r="Y24" s="189" t="s">
        <v>2</v>
      </c>
      <c r="Z24" s="189" t="s">
        <v>2</v>
      </c>
      <c r="AA24" s="137" t="s">
        <v>2</v>
      </c>
      <c r="AB24" s="137" t="s">
        <v>2</v>
      </c>
      <c r="AC24" s="155" t="s">
        <v>2</v>
      </c>
      <c r="AD24" s="138" t="s">
        <v>2</v>
      </c>
      <c r="AE24" s="138" t="s">
        <v>2</v>
      </c>
      <c r="AF24" s="137" t="s">
        <v>2</v>
      </c>
      <c r="AG24" s="138" t="s">
        <v>2</v>
      </c>
      <c r="AH24" s="138" t="s">
        <v>2</v>
      </c>
      <c r="AI24" s="138" t="s">
        <v>2</v>
      </c>
      <c r="AJ24" s="138" t="s">
        <v>2</v>
      </c>
      <c r="AK24" s="138" t="s">
        <v>2</v>
      </c>
      <c r="AL24" s="37"/>
      <c r="AM24" s="37" t="s">
        <v>2</v>
      </c>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row>
    <row r="25" spans="1:74" ht="14.1" customHeight="1">
      <c r="A25" s="148"/>
      <c r="B25" s="189" t="s">
        <v>2</v>
      </c>
      <c r="C25" s="189" t="s">
        <v>2</v>
      </c>
      <c r="D25" s="189" t="s">
        <v>2</v>
      </c>
      <c r="E25" s="189" t="s">
        <v>2</v>
      </c>
      <c r="F25" s="189" t="s">
        <v>2</v>
      </c>
      <c r="G25" s="189" t="s">
        <v>2</v>
      </c>
      <c r="H25" s="180" t="s">
        <v>2</v>
      </c>
      <c r="I25" s="189" t="s">
        <v>2</v>
      </c>
      <c r="J25" s="189" t="s">
        <v>2</v>
      </c>
      <c r="K25" s="189" t="s">
        <v>2</v>
      </c>
      <c r="L25" s="189" t="s">
        <v>2</v>
      </c>
      <c r="M25" s="189" t="s">
        <v>2</v>
      </c>
      <c r="N25" s="189" t="s">
        <v>2</v>
      </c>
      <c r="O25" s="189" t="s">
        <v>2</v>
      </c>
      <c r="P25" s="189" t="s">
        <v>2</v>
      </c>
      <c r="Q25" s="189" t="s">
        <v>2</v>
      </c>
      <c r="R25" s="189" t="s">
        <v>2</v>
      </c>
      <c r="S25" s="189" t="s">
        <v>2</v>
      </c>
      <c r="T25" s="165">
        <v>31</v>
      </c>
      <c r="U25" s="166">
        <v>32</v>
      </c>
      <c r="V25" s="193" t="s">
        <v>34</v>
      </c>
      <c r="W25" s="140" t="s">
        <v>1502</v>
      </c>
      <c r="X25" s="193" t="s">
        <v>239</v>
      </c>
      <c r="Y25" s="193" t="s">
        <v>2834</v>
      </c>
      <c r="Z25" s="193" t="s">
        <v>2229</v>
      </c>
      <c r="AA25" s="143" t="s">
        <v>2810</v>
      </c>
      <c r="AB25" s="143" t="s">
        <v>1290</v>
      </c>
      <c r="AC25" s="154" t="s">
        <v>2418</v>
      </c>
      <c r="AD25" s="42" t="s">
        <v>3123</v>
      </c>
      <c r="AE25" s="146" t="s">
        <v>2418</v>
      </c>
      <c r="AF25" s="141" t="s">
        <v>1371</v>
      </c>
      <c r="AG25" s="146" t="s">
        <v>2940</v>
      </c>
      <c r="AH25" s="146" t="s">
        <v>464</v>
      </c>
      <c r="AI25" s="146" t="s">
        <v>465</v>
      </c>
      <c r="AJ25" s="151" t="s">
        <v>464</v>
      </c>
      <c r="AK25" s="151" t="s">
        <v>464</v>
      </c>
      <c r="AL25" s="57"/>
      <c r="AM25" s="57" t="s">
        <v>464</v>
      </c>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row>
    <row r="26" spans="1:74" ht="14.1" customHeight="1">
      <c r="A26" s="148"/>
      <c r="B26" s="140" t="s">
        <v>1499</v>
      </c>
      <c r="C26" s="193" t="s">
        <v>351</v>
      </c>
      <c r="D26" s="193" t="s">
        <v>2823</v>
      </c>
      <c r="E26" s="193" t="s">
        <v>2212</v>
      </c>
      <c r="F26" s="140" t="s">
        <v>2783</v>
      </c>
      <c r="G26" s="140" t="s">
        <v>1309</v>
      </c>
      <c r="H26" s="182" t="s">
        <v>2365</v>
      </c>
      <c r="I26" s="185" t="s">
        <v>3104</v>
      </c>
      <c r="J26" s="193" t="s">
        <v>2365</v>
      </c>
      <c r="K26" s="193" t="s">
        <v>1361</v>
      </c>
      <c r="L26" s="193" t="s">
        <v>2906</v>
      </c>
      <c r="M26" s="193" t="s">
        <v>396</v>
      </c>
      <c r="N26" s="193" t="s">
        <v>397</v>
      </c>
      <c r="O26" s="140" t="s">
        <v>396</v>
      </c>
      <c r="P26" s="140" t="s">
        <v>396</v>
      </c>
      <c r="Q26" s="140" t="s">
        <v>396</v>
      </c>
      <c r="R26" s="140" t="s">
        <v>396</v>
      </c>
      <c r="S26" s="193" t="s">
        <v>39</v>
      </c>
      <c r="T26" s="165">
        <v>33</v>
      </c>
      <c r="U26" s="166">
        <v>34</v>
      </c>
      <c r="V26" s="189" t="s">
        <v>2</v>
      </c>
      <c r="W26" s="189" t="s">
        <v>2</v>
      </c>
      <c r="X26" s="189" t="s">
        <v>2</v>
      </c>
      <c r="Y26" s="189" t="s">
        <v>2</v>
      </c>
      <c r="Z26" s="189" t="s">
        <v>2</v>
      </c>
      <c r="AA26" s="137" t="s">
        <v>2</v>
      </c>
      <c r="AB26" s="137" t="s">
        <v>2</v>
      </c>
      <c r="AC26" s="155" t="s">
        <v>2</v>
      </c>
      <c r="AD26" s="138" t="s">
        <v>2</v>
      </c>
      <c r="AE26" s="138" t="s">
        <v>2</v>
      </c>
      <c r="AF26" s="137" t="s">
        <v>2</v>
      </c>
      <c r="AG26" s="138" t="s">
        <v>2</v>
      </c>
      <c r="AH26" s="138" t="s">
        <v>2</v>
      </c>
      <c r="AI26" s="138" t="s">
        <v>2</v>
      </c>
      <c r="AJ26" s="138" t="s">
        <v>2</v>
      </c>
      <c r="AK26" s="138" t="s">
        <v>2</v>
      </c>
      <c r="AL26" s="37"/>
      <c r="AM26" s="37" t="s">
        <v>2</v>
      </c>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row>
    <row r="27" spans="1:74" ht="14.1" customHeight="1">
      <c r="A27" s="148"/>
      <c r="B27" s="189" t="s">
        <v>2</v>
      </c>
      <c r="C27" s="189" t="s">
        <v>2</v>
      </c>
      <c r="D27" s="189" t="s">
        <v>2</v>
      </c>
      <c r="E27" s="189" t="s">
        <v>2</v>
      </c>
      <c r="F27" s="189" t="s">
        <v>2</v>
      </c>
      <c r="G27" s="189" t="s">
        <v>2</v>
      </c>
      <c r="H27" s="180" t="s">
        <v>2</v>
      </c>
      <c r="I27" s="189" t="s">
        <v>2</v>
      </c>
      <c r="J27" s="189" t="s">
        <v>2</v>
      </c>
      <c r="K27" s="189" t="s">
        <v>2</v>
      </c>
      <c r="L27" s="189" t="s">
        <v>2</v>
      </c>
      <c r="M27" s="189" t="s">
        <v>2</v>
      </c>
      <c r="N27" s="189" t="s">
        <v>2</v>
      </c>
      <c r="O27" s="189" t="s">
        <v>2</v>
      </c>
      <c r="P27" s="189" t="s">
        <v>2</v>
      </c>
      <c r="Q27" s="189" t="s">
        <v>2</v>
      </c>
      <c r="R27" s="189" t="s">
        <v>2</v>
      </c>
      <c r="S27" s="189" t="s">
        <v>2</v>
      </c>
      <c r="T27" s="165">
        <v>35</v>
      </c>
      <c r="U27" s="166">
        <v>36</v>
      </c>
      <c r="V27" s="193" t="s">
        <v>35</v>
      </c>
      <c r="W27" s="140" t="s">
        <v>1501</v>
      </c>
      <c r="X27" s="193" t="s">
        <v>239</v>
      </c>
      <c r="Y27" s="193" t="s">
        <v>2835</v>
      </c>
      <c r="Z27" s="193" t="s">
        <v>2230</v>
      </c>
      <c r="AA27" s="143" t="s">
        <v>2811</v>
      </c>
      <c r="AB27" s="143" t="s">
        <v>1291</v>
      </c>
      <c r="AC27" s="154" t="s">
        <v>2419</v>
      </c>
      <c r="AD27" s="42" t="s">
        <v>3124</v>
      </c>
      <c r="AE27" s="146" t="s">
        <v>2419</v>
      </c>
      <c r="AF27" s="141" t="s">
        <v>1372</v>
      </c>
      <c r="AG27" s="146" t="s">
        <v>2941</v>
      </c>
      <c r="AH27" s="146" t="s">
        <v>466</v>
      </c>
      <c r="AI27" s="146" t="s">
        <v>467</v>
      </c>
      <c r="AJ27" s="151" t="s">
        <v>466</v>
      </c>
      <c r="AK27" s="151" t="s">
        <v>466</v>
      </c>
      <c r="AL27" s="57"/>
      <c r="AM27" s="57" t="s">
        <v>466</v>
      </c>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row>
    <row r="28" spans="1:74" ht="14.1" customHeight="1">
      <c r="A28" s="148"/>
      <c r="B28" s="140" t="s">
        <v>1496</v>
      </c>
      <c r="C28" s="193" t="s">
        <v>354</v>
      </c>
      <c r="D28" s="193" t="s">
        <v>2824</v>
      </c>
      <c r="E28" s="193" t="s">
        <v>2213</v>
      </c>
      <c r="F28" s="140" t="s">
        <v>2784</v>
      </c>
      <c r="G28" s="140" t="s">
        <v>1310</v>
      </c>
      <c r="H28" s="182" t="s">
        <v>2366</v>
      </c>
      <c r="I28" s="185" t="s">
        <v>3105</v>
      </c>
      <c r="J28" s="193" t="s">
        <v>2366</v>
      </c>
      <c r="K28" s="193" t="s">
        <v>1362</v>
      </c>
      <c r="L28" s="193" t="s">
        <v>2907</v>
      </c>
      <c r="M28" s="193" t="s">
        <v>398</v>
      </c>
      <c r="N28" s="193" t="s">
        <v>399</v>
      </c>
      <c r="O28" s="140" t="s">
        <v>398</v>
      </c>
      <c r="P28" s="140" t="s">
        <v>398</v>
      </c>
      <c r="Q28" s="140" t="s">
        <v>398</v>
      </c>
      <c r="R28" s="140" t="s">
        <v>398</v>
      </c>
      <c r="S28" s="193" t="s">
        <v>38</v>
      </c>
      <c r="T28" s="165">
        <v>37</v>
      </c>
      <c r="U28" s="166">
        <v>38</v>
      </c>
      <c r="V28" s="189" t="s">
        <v>2</v>
      </c>
      <c r="W28" s="189" t="s">
        <v>2</v>
      </c>
      <c r="X28" s="189" t="s">
        <v>2</v>
      </c>
      <c r="Y28" s="189" t="s">
        <v>2</v>
      </c>
      <c r="Z28" s="189" t="s">
        <v>2</v>
      </c>
      <c r="AA28" s="137" t="s">
        <v>2</v>
      </c>
      <c r="AB28" s="137" t="s">
        <v>2</v>
      </c>
      <c r="AC28" s="155" t="s">
        <v>2</v>
      </c>
      <c r="AD28" s="138" t="s">
        <v>2</v>
      </c>
      <c r="AE28" s="138" t="s">
        <v>2</v>
      </c>
      <c r="AF28" s="137" t="s">
        <v>2</v>
      </c>
      <c r="AG28" s="138" t="s">
        <v>2</v>
      </c>
      <c r="AH28" s="138" t="s">
        <v>2</v>
      </c>
      <c r="AI28" s="138" t="s">
        <v>2</v>
      </c>
      <c r="AJ28" s="138" t="s">
        <v>2</v>
      </c>
      <c r="AK28" s="138" t="s">
        <v>2</v>
      </c>
      <c r="AL28" s="37"/>
      <c r="AM28" s="37" t="s">
        <v>2</v>
      </c>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row>
    <row r="29" spans="1:74" ht="14.1" customHeight="1">
      <c r="A29" s="148"/>
      <c r="B29" s="189" t="s">
        <v>2</v>
      </c>
      <c r="C29" s="189" t="s">
        <v>2</v>
      </c>
      <c r="D29" s="189" t="s">
        <v>2</v>
      </c>
      <c r="E29" s="189" t="s">
        <v>2</v>
      </c>
      <c r="F29" s="189" t="s">
        <v>2</v>
      </c>
      <c r="G29" s="189" t="s">
        <v>2</v>
      </c>
      <c r="H29" s="180" t="s">
        <v>2</v>
      </c>
      <c r="I29" s="189" t="s">
        <v>2</v>
      </c>
      <c r="J29" s="189" t="s">
        <v>2</v>
      </c>
      <c r="K29" s="189" t="s">
        <v>2</v>
      </c>
      <c r="L29" s="189" t="s">
        <v>2</v>
      </c>
      <c r="M29" s="189" t="s">
        <v>2</v>
      </c>
      <c r="N29" s="189" t="s">
        <v>2</v>
      </c>
      <c r="O29" s="189" t="s">
        <v>2</v>
      </c>
      <c r="P29" s="189" t="s">
        <v>2</v>
      </c>
      <c r="Q29" s="189" t="s">
        <v>2</v>
      </c>
      <c r="R29" s="189" t="s">
        <v>2</v>
      </c>
      <c r="S29" s="189" t="s">
        <v>2</v>
      </c>
      <c r="T29" s="165">
        <v>39</v>
      </c>
      <c r="U29" s="166">
        <v>40</v>
      </c>
      <c r="V29" s="193" t="s">
        <v>34</v>
      </c>
      <c r="W29" s="140" t="s">
        <v>1498</v>
      </c>
      <c r="X29" s="193" t="s">
        <v>239</v>
      </c>
      <c r="Y29" s="193" t="s">
        <v>2836</v>
      </c>
      <c r="Z29" s="193" t="s">
        <v>2231</v>
      </c>
      <c r="AA29" s="143" t="s">
        <v>2812</v>
      </c>
      <c r="AB29" s="143" t="s">
        <v>1292</v>
      </c>
      <c r="AC29" s="154" t="s">
        <v>2420</v>
      </c>
      <c r="AD29" s="42" t="s">
        <v>3125</v>
      </c>
      <c r="AE29" s="146" t="s">
        <v>2420</v>
      </c>
      <c r="AF29" s="141" t="s">
        <v>1373</v>
      </c>
      <c r="AG29" s="146" t="s">
        <v>2942</v>
      </c>
      <c r="AH29" s="146" t="s">
        <v>468</v>
      </c>
      <c r="AI29" s="146" t="s">
        <v>469</v>
      </c>
      <c r="AJ29" s="151" t="s">
        <v>468</v>
      </c>
      <c r="AK29" s="151" t="s">
        <v>468</v>
      </c>
      <c r="AL29" s="57"/>
      <c r="AM29" s="57" t="s">
        <v>468</v>
      </c>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row>
    <row r="30" spans="1:74" ht="14.1" customHeight="1">
      <c r="A30" s="148"/>
      <c r="B30" s="140" t="s">
        <v>1495</v>
      </c>
      <c r="C30" s="193" t="s">
        <v>400</v>
      </c>
      <c r="D30" s="193" t="s">
        <v>2825</v>
      </c>
      <c r="E30" s="193" t="s">
        <v>2214</v>
      </c>
      <c r="F30" s="140" t="s">
        <v>2785</v>
      </c>
      <c r="G30" s="140" t="s">
        <v>1311</v>
      </c>
      <c r="H30" s="182" t="s">
        <v>2367</v>
      </c>
      <c r="I30" s="185" t="s">
        <v>3106</v>
      </c>
      <c r="J30" s="193" t="s">
        <v>2367</v>
      </c>
      <c r="K30" s="193" t="s">
        <v>1363</v>
      </c>
      <c r="L30" s="193" t="s">
        <v>2908</v>
      </c>
      <c r="M30" s="193" t="s">
        <v>401</v>
      </c>
      <c r="N30" s="193" t="s">
        <v>402</v>
      </c>
      <c r="O30" s="140" t="s">
        <v>401</v>
      </c>
      <c r="P30" s="140" t="s">
        <v>401</v>
      </c>
      <c r="Q30" s="140" t="s">
        <v>401</v>
      </c>
      <c r="R30" s="140" t="s">
        <v>401</v>
      </c>
      <c r="S30" s="193" t="s">
        <v>39</v>
      </c>
      <c r="T30" s="165">
        <v>41</v>
      </c>
      <c r="U30" s="166">
        <v>42</v>
      </c>
      <c r="V30" s="189" t="s">
        <v>2</v>
      </c>
      <c r="W30" s="188" t="s">
        <v>2</v>
      </c>
      <c r="X30" s="189" t="s">
        <v>2</v>
      </c>
      <c r="Y30" s="189" t="s">
        <v>2</v>
      </c>
      <c r="Z30" s="189" t="s">
        <v>2</v>
      </c>
      <c r="AA30" s="143" t="s">
        <v>2</v>
      </c>
      <c r="AB30" s="143" t="s">
        <v>2</v>
      </c>
      <c r="AC30" s="155" t="s">
        <v>2</v>
      </c>
      <c r="AD30" s="138" t="s">
        <v>2</v>
      </c>
      <c r="AE30" s="138" t="s">
        <v>2</v>
      </c>
      <c r="AF30" s="137" t="s">
        <v>2</v>
      </c>
      <c r="AG30" s="138" t="s">
        <v>2</v>
      </c>
      <c r="AH30" s="138" t="s">
        <v>2</v>
      </c>
      <c r="AI30" s="138" t="s">
        <v>2</v>
      </c>
      <c r="AJ30" s="138" t="s">
        <v>2</v>
      </c>
      <c r="AK30" s="138" t="s">
        <v>2</v>
      </c>
      <c r="AL30" s="37"/>
      <c r="AM30" s="37" t="s">
        <v>2</v>
      </c>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row>
    <row r="31" spans="1:74" ht="14.1" customHeight="1">
      <c r="A31" s="148"/>
      <c r="B31" s="189" t="s">
        <v>2</v>
      </c>
      <c r="C31" s="189" t="s">
        <v>2</v>
      </c>
      <c r="D31" s="189" t="s">
        <v>2</v>
      </c>
      <c r="E31" s="189" t="s">
        <v>2</v>
      </c>
      <c r="F31" s="189" t="s">
        <v>2</v>
      </c>
      <c r="G31" s="189" t="s">
        <v>2</v>
      </c>
      <c r="H31" s="180" t="s">
        <v>2</v>
      </c>
      <c r="I31" s="189" t="s">
        <v>2</v>
      </c>
      <c r="J31" s="189" t="s">
        <v>2</v>
      </c>
      <c r="K31" s="189" t="s">
        <v>2</v>
      </c>
      <c r="L31" s="189" t="s">
        <v>2</v>
      </c>
      <c r="M31" s="189" t="s">
        <v>2</v>
      </c>
      <c r="N31" s="189" t="s">
        <v>2</v>
      </c>
      <c r="O31" s="189" t="s">
        <v>2</v>
      </c>
      <c r="P31" s="189" t="s">
        <v>2</v>
      </c>
      <c r="Q31" s="189" t="s">
        <v>2</v>
      </c>
      <c r="R31" s="189" t="s">
        <v>2</v>
      </c>
      <c r="S31" s="189" t="s">
        <v>2</v>
      </c>
      <c r="T31" s="165">
        <v>43</v>
      </c>
      <c r="U31" s="166">
        <v>44</v>
      </c>
      <c r="V31" s="193" t="s">
        <v>35</v>
      </c>
      <c r="W31" s="140" t="s">
        <v>1497</v>
      </c>
      <c r="X31" s="193" t="s">
        <v>239</v>
      </c>
      <c r="Y31" s="193" t="s">
        <v>2837</v>
      </c>
      <c r="Z31" s="193" t="s">
        <v>2232</v>
      </c>
      <c r="AA31" s="143" t="s">
        <v>2813</v>
      </c>
      <c r="AB31" s="143" t="s">
        <v>1293</v>
      </c>
      <c r="AC31" s="154" t="s">
        <v>2421</v>
      </c>
      <c r="AD31" s="42" t="s">
        <v>3126</v>
      </c>
      <c r="AE31" s="146" t="s">
        <v>2421</v>
      </c>
      <c r="AF31" s="141" t="s">
        <v>1374</v>
      </c>
      <c r="AG31" s="146" t="s">
        <v>2943</v>
      </c>
      <c r="AH31" s="146" t="s">
        <v>470</v>
      </c>
      <c r="AI31" s="146" t="s">
        <v>471</v>
      </c>
      <c r="AJ31" s="151" t="s">
        <v>470</v>
      </c>
      <c r="AK31" s="151" t="s">
        <v>470</v>
      </c>
      <c r="AL31" s="57"/>
      <c r="AM31" s="57" t="s">
        <v>470</v>
      </c>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row>
    <row r="32" spans="1:74" ht="14.1" customHeight="1">
      <c r="A32" s="148"/>
      <c r="B32" s="140" t="s">
        <v>1492</v>
      </c>
      <c r="C32" s="193" t="s">
        <v>403</v>
      </c>
      <c r="D32" s="193" t="s">
        <v>1858</v>
      </c>
      <c r="E32" s="193" t="s">
        <v>2215</v>
      </c>
      <c r="F32" s="140" t="s">
        <v>2786</v>
      </c>
      <c r="G32" s="140" t="s">
        <v>1312</v>
      </c>
      <c r="H32" s="182" t="s">
        <v>2368</v>
      </c>
      <c r="I32" s="193" t="s">
        <v>3107</v>
      </c>
      <c r="J32" s="193" t="s">
        <v>3070</v>
      </c>
      <c r="K32" s="193" t="s">
        <v>2749</v>
      </c>
      <c r="L32" s="193" t="s">
        <v>2909</v>
      </c>
      <c r="M32" s="140" t="s">
        <v>1039</v>
      </c>
      <c r="N32" s="193" t="s">
        <v>128</v>
      </c>
      <c r="O32" s="140" t="s">
        <v>746</v>
      </c>
      <c r="P32" s="140" t="s">
        <v>744</v>
      </c>
      <c r="Q32" s="140" t="s">
        <v>750</v>
      </c>
      <c r="R32" s="140" t="s">
        <v>750</v>
      </c>
      <c r="S32" s="193" t="s">
        <v>10</v>
      </c>
      <c r="T32" s="165">
        <v>45</v>
      </c>
      <c r="U32" s="166">
        <v>46</v>
      </c>
      <c r="V32" s="189" t="s">
        <v>2</v>
      </c>
      <c r="W32" s="189" t="s">
        <v>2</v>
      </c>
      <c r="X32" s="189" t="s">
        <v>2</v>
      </c>
      <c r="Y32" s="189" t="s">
        <v>2</v>
      </c>
      <c r="Z32" s="189" t="s">
        <v>2</v>
      </c>
      <c r="AA32" s="137" t="s">
        <v>2</v>
      </c>
      <c r="AB32" s="137" t="s">
        <v>2</v>
      </c>
      <c r="AC32" s="155" t="s">
        <v>2</v>
      </c>
      <c r="AD32" s="138" t="s">
        <v>2</v>
      </c>
      <c r="AE32" s="138" t="s">
        <v>2</v>
      </c>
      <c r="AF32" s="137" t="s">
        <v>2</v>
      </c>
      <c r="AG32" s="138" t="s">
        <v>2</v>
      </c>
      <c r="AH32" s="138" t="s">
        <v>2</v>
      </c>
      <c r="AI32" s="138" t="s">
        <v>2</v>
      </c>
      <c r="AJ32" s="138" t="s">
        <v>2</v>
      </c>
      <c r="AK32" s="138" t="s">
        <v>2</v>
      </c>
      <c r="AL32" s="37"/>
      <c r="AM32" s="37" t="s">
        <v>2</v>
      </c>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row>
    <row r="33" spans="1:74" ht="14.1" customHeight="1">
      <c r="A33" s="148"/>
      <c r="B33" s="140" t="s">
        <v>1491</v>
      </c>
      <c r="C33" s="193" t="s">
        <v>405</v>
      </c>
      <c r="D33" s="193" t="s">
        <v>1859</v>
      </c>
      <c r="E33" s="193" t="s">
        <v>2216</v>
      </c>
      <c r="F33" s="140" t="s">
        <v>2787</v>
      </c>
      <c r="G33" s="140" t="s">
        <v>1313</v>
      </c>
      <c r="H33" s="182" t="s">
        <v>2369</v>
      </c>
      <c r="I33" s="193" t="s">
        <v>3108</v>
      </c>
      <c r="J33" s="193" t="s">
        <v>3071</v>
      </c>
      <c r="K33" s="193" t="s">
        <v>2750</v>
      </c>
      <c r="L33" s="193" t="s">
        <v>2910</v>
      </c>
      <c r="M33" s="140" t="s">
        <v>1040</v>
      </c>
      <c r="N33" s="193" t="s">
        <v>130</v>
      </c>
      <c r="O33" s="140" t="s">
        <v>748</v>
      </c>
      <c r="P33" s="140" t="s">
        <v>745</v>
      </c>
      <c r="Q33" s="140" t="s">
        <v>752</v>
      </c>
      <c r="R33" s="140" t="s">
        <v>752</v>
      </c>
      <c r="S33" s="193" t="s">
        <v>11</v>
      </c>
      <c r="T33" s="165">
        <v>47</v>
      </c>
      <c r="U33" s="166">
        <v>48</v>
      </c>
      <c r="V33" s="193" t="s">
        <v>10</v>
      </c>
      <c r="W33" s="140" t="s">
        <v>1494</v>
      </c>
      <c r="X33" s="193" t="s">
        <v>472</v>
      </c>
      <c r="Y33" s="193" t="s">
        <v>1916</v>
      </c>
      <c r="Z33" s="193" t="s">
        <v>2233</v>
      </c>
      <c r="AA33" s="143" t="s">
        <v>2814</v>
      </c>
      <c r="AB33" s="143" t="s">
        <v>1294</v>
      </c>
      <c r="AC33" s="154" t="s">
        <v>2422</v>
      </c>
      <c r="AD33" s="42" t="s">
        <v>3127</v>
      </c>
      <c r="AE33" s="146" t="s">
        <v>3080</v>
      </c>
      <c r="AF33" s="141" t="s">
        <v>2757</v>
      </c>
      <c r="AG33" s="146" t="s">
        <v>2944</v>
      </c>
      <c r="AH33" s="151" t="s">
        <v>1035</v>
      </c>
      <c r="AI33" s="146" t="s">
        <v>473</v>
      </c>
      <c r="AJ33" s="151" t="s">
        <v>813</v>
      </c>
      <c r="AK33" s="151" t="s">
        <v>810</v>
      </c>
      <c r="AL33" s="57"/>
      <c r="AM33" s="57" t="s">
        <v>818</v>
      </c>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row>
    <row r="34" spans="1:74" ht="14.1" customHeight="1">
      <c r="A34" s="148"/>
      <c r="B34" s="189" t="s">
        <v>2</v>
      </c>
      <c r="C34" s="189" t="s">
        <v>2</v>
      </c>
      <c r="D34" s="189" t="s">
        <v>2</v>
      </c>
      <c r="E34" s="189" t="s">
        <v>2</v>
      </c>
      <c r="F34" s="189" t="s">
        <v>2</v>
      </c>
      <c r="G34" s="189" t="s">
        <v>2</v>
      </c>
      <c r="H34" s="180" t="s">
        <v>2</v>
      </c>
      <c r="I34" s="189" t="s">
        <v>2</v>
      </c>
      <c r="J34" s="189" t="s">
        <v>2</v>
      </c>
      <c r="K34" s="189" t="s">
        <v>2</v>
      </c>
      <c r="L34" s="189" t="s">
        <v>2</v>
      </c>
      <c r="M34" s="189" t="s">
        <v>2</v>
      </c>
      <c r="N34" s="189" t="s">
        <v>2</v>
      </c>
      <c r="O34" s="189" t="s">
        <v>2</v>
      </c>
      <c r="P34" s="189" t="s">
        <v>2</v>
      </c>
      <c r="Q34" s="189" t="s">
        <v>2</v>
      </c>
      <c r="R34" s="189" t="s">
        <v>2</v>
      </c>
      <c r="S34" s="189" t="s">
        <v>2</v>
      </c>
      <c r="T34" s="165">
        <v>49</v>
      </c>
      <c r="U34" s="166">
        <v>50</v>
      </c>
      <c r="V34" s="193" t="s">
        <v>11</v>
      </c>
      <c r="W34" s="140" t="s">
        <v>1493</v>
      </c>
      <c r="X34" s="193" t="s">
        <v>474</v>
      </c>
      <c r="Y34" s="193" t="s">
        <v>1917</v>
      </c>
      <c r="Z34" s="193" t="s">
        <v>2234</v>
      </c>
      <c r="AA34" s="143" t="s">
        <v>2815</v>
      </c>
      <c r="AB34" s="143" t="s">
        <v>1295</v>
      </c>
      <c r="AC34" s="154" t="s">
        <v>2423</v>
      </c>
      <c r="AD34" s="42" t="s">
        <v>3128</v>
      </c>
      <c r="AE34" s="146" t="s">
        <v>3081</v>
      </c>
      <c r="AF34" s="141" t="s">
        <v>2758</v>
      </c>
      <c r="AG34" s="146" t="s">
        <v>2945</v>
      </c>
      <c r="AH34" s="151" t="s">
        <v>1036</v>
      </c>
      <c r="AI34" s="146" t="s">
        <v>475</v>
      </c>
      <c r="AJ34" s="151" t="s">
        <v>815</v>
      </c>
      <c r="AK34" s="151" t="s">
        <v>811</v>
      </c>
      <c r="AL34" s="57"/>
      <c r="AM34" s="57" t="s">
        <v>819</v>
      </c>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row>
    <row r="35" spans="1:74" ht="14.1" customHeight="1">
      <c r="A35" s="148"/>
      <c r="B35" s="140" t="s">
        <v>1488</v>
      </c>
      <c r="C35" s="193" t="s">
        <v>407</v>
      </c>
      <c r="D35" s="193" t="s">
        <v>1860</v>
      </c>
      <c r="E35" s="193" t="s">
        <v>1951</v>
      </c>
      <c r="F35" s="140" t="s">
        <v>1951</v>
      </c>
      <c r="G35" s="140" t="s">
        <v>1314</v>
      </c>
      <c r="H35" s="182" t="s">
        <v>2370</v>
      </c>
      <c r="I35" s="193" t="s">
        <v>3109</v>
      </c>
      <c r="J35" s="193" t="s">
        <v>3072</v>
      </c>
      <c r="K35" s="193" t="s">
        <v>2751</v>
      </c>
      <c r="L35" s="193" t="s">
        <v>2911</v>
      </c>
      <c r="M35" s="140" t="s">
        <v>1041</v>
      </c>
      <c r="N35" s="193" t="s">
        <v>408</v>
      </c>
      <c r="O35" s="140" t="s">
        <v>750</v>
      </c>
      <c r="P35" s="140" t="s">
        <v>742</v>
      </c>
      <c r="Q35" s="140" t="s">
        <v>746</v>
      </c>
      <c r="R35" s="140" t="s">
        <v>746</v>
      </c>
      <c r="S35" s="193" t="s">
        <v>10</v>
      </c>
      <c r="T35" s="165">
        <v>51</v>
      </c>
      <c r="U35" s="166">
        <v>52</v>
      </c>
      <c r="V35" s="194" t="s">
        <v>6</v>
      </c>
      <c r="W35" s="194" t="s">
        <v>4</v>
      </c>
      <c r="X35" s="194" t="s">
        <v>236</v>
      </c>
      <c r="Y35" s="194" t="s">
        <v>4</v>
      </c>
      <c r="Z35" s="194" t="s">
        <v>4</v>
      </c>
      <c r="AA35" s="149" t="s">
        <v>4</v>
      </c>
      <c r="AB35" s="149" t="s">
        <v>4</v>
      </c>
      <c r="AC35" s="153" t="s">
        <v>4</v>
      </c>
      <c r="AD35" s="150" t="s">
        <v>4</v>
      </c>
      <c r="AE35" s="150" t="s">
        <v>4</v>
      </c>
      <c r="AF35" s="149" t="s">
        <v>4</v>
      </c>
      <c r="AG35" s="150" t="s">
        <v>4</v>
      </c>
      <c r="AH35" s="150" t="s">
        <v>4</v>
      </c>
      <c r="AI35" s="150" t="s">
        <v>476</v>
      </c>
      <c r="AJ35" s="150" t="s">
        <v>816</v>
      </c>
      <c r="AK35" s="150" t="s">
        <v>816</v>
      </c>
      <c r="AL35" s="38"/>
      <c r="AM35" s="38" t="s">
        <v>816</v>
      </c>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row>
    <row r="36" spans="1:74" ht="14.1" customHeight="1">
      <c r="A36" s="148"/>
      <c r="B36" s="140" t="s">
        <v>1487</v>
      </c>
      <c r="C36" s="193" t="s">
        <v>410</v>
      </c>
      <c r="D36" s="193" t="s">
        <v>1861</v>
      </c>
      <c r="E36" s="193" t="s">
        <v>1952</v>
      </c>
      <c r="F36" s="140" t="s">
        <v>1952</v>
      </c>
      <c r="G36" s="140" t="s">
        <v>1315</v>
      </c>
      <c r="H36" s="182" t="s">
        <v>2371</v>
      </c>
      <c r="I36" s="193" t="s">
        <v>3110</v>
      </c>
      <c r="J36" s="193" t="s">
        <v>3073</v>
      </c>
      <c r="K36" s="193" t="s">
        <v>2752</v>
      </c>
      <c r="L36" s="193" t="s">
        <v>2912</v>
      </c>
      <c r="M36" s="140" t="s">
        <v>1042</v>
      </c>
      <c r="N36" s="193" t="s">
        <v>411</v>
      </c>
      <c r="O36" s="140" t="s">
        <v>752</v>
      </c>
      <c r="P36" s="140" t="s">
        <v>743</v>
      </c>
      <c r="Q36" s="140" t="s">
        <v>748</v>
      </c>
      <c r="R36" s="140" t="s">
        <v>748</v>
      </c>
      <c r="S36" s="193" t="s">
        <v>11</v>
      </c>
      <c r="T36" s="165">
        <v>53</v>
      </c>
      <c r="U36" s="166">
        <v>54</v>
      </c>
      <c r="V36" s="193" t="s">
        <v>10</v>
      </c>
      <c r="W36" s="140" t="s">
        <v>1490</v>
      </c>
      <c r="X36" s="193" t="s">
        <v>477</v>
      </c>
      <c r="Y36" s="193" t="s">
        <v>1918</v>
      </c>
      <c r="Z36" s="193" t="s">
        <v>2235</v>
      </c>
      <c r="AA36" s="143" t="s">
        <v>2816</v>
      </c>
      <c r="AB36" s="143" t="s">
        <v>1296</v>
      </c>
      <c r="AC36" s="154" t="s">
        <v>2424</v>
      </c>
      <c r="AD36" s="42" t="s">
        <v>3129</v>
      </c>
      <c r="AE36" s="146" t="s">
        <v>3082</v>
      </c>
      <c r="AF36" s="141" t="s">
        <v>2759</v>
      </c>
      <c r="AG36" s="146" t="s">
        <v>2946</v>
      </c>
      <c r="AH36" s="151" t="s">
        <v>1009</v>
      </c>
      <c r="AI36" s="146" t="s">
        <v>478</v>
      </c>
      <c r="AJ36" s="151" t="s">
        <v>818</v>
      </c>
      <c r="AK36" s="151" t="s">
        <v>808</v>
      </c>
      <c r="AL36" s="57"/>
      <c r="AM36" s="57" t="s">
        <v>813</v>
      </c>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row>
    <row r="37" spans="1:74" ht="14.1" customHeight="1">
      <c r="A37" s="148"/>
      <c r="B37" s="194" t="s">
        <v>3</v>
      </c>
      <c r="C37" s="194" t="s">
        <v>3</v>
      </c>
      <c r="D37" s="194" t="s">
        <v>3</v>
      </c>
      <c r="E37" s="194" t="s">
        <v>3</v>
      </c>
      <c r="F37" s="194" t="s">
        <v>3</v>
      </c>
      <c r="G37" s="194" t="s">
        <v>3</v>
      </c>
      <c r="H37" s="176" t="s">
        <v>3</v>
      </c>
      <c r="I37" s="194" t="s">
        <v>3</v>
      </c>
      <c r="J37" s="194" t="s">
        <v>3</v>
      </c>
      <c r="K37" s="194" t="s">
        <v>3</v>
      </c>
      <c r="L37" s="194" t="s">
        <v>3</v>
      </c>
      <c r="M37" s="194" t="s">
        <v>3</v>
      </c>
      <c r="N37" s="194" t="s">
        <v>3</v>
      </c>
      <c r="O37" s="194" t="s">
        <v>541</v>
      </c>
      <c r="P37" s="194" t="s">
        <v>541</v>
      </c>
      <c r="Q37" s="194" t="s">
        <v>541</v>
      </c>
      <c r="R37" s="194" t="s">
        <v>541</v>
      </c>
      <c r="S37" s="194" t="s">
        <v>261</v>
      </c>
      <c r="T37" s="165">
        <v>55</v>
      </c>
      <c r="U37" s="166">
        <v>56</v>
      </c>
      <c r="V37" s="193" t="s">
        <v>11</v>
      </c>
      <c r="W37" s="140" t="s">
        <v>1489</v>
      </c>
      <c r="X37" s="193" t="s">
        <v>2062</v>
      </c>
      <c r="Y37" s="193" t="s">
        <v>1919</v>
      </c>
      <c r="Z37" s="193" t="s">
        <v>2236</v>
      </c>
      <c r="AA37" s="143" t="s">
        <v>2817</v>
      </c>
      <c r="AB37" s="143" t="s">
        <v>1297</v>
      </c>
      <c r="AC37" s="154" t="s">
        <v>2425</v>
      </c>
      <c r="AD37" s="42" t="s">
        <v>3130</v>
      </c>
      <c r="AE37" s="146" t="s">
        <v>3083</v>
      </c>
      <c r="AF37" s="141" t="s">
        <v>2760</v>
      </c>
      <c r="AG37" s="146" t="s">
        <v>2947</v>
      </c>
      <c r="AH37" s="151" t="s">
        <v>1010</v>
      </c>
      <c r="AI37" s="146" t="s">
        <v>479</v>
      </c>
      <c r="AJ37" s="151" t="s">
        <v>819</v>
      </c>
      <c r="AK37" s="151" t="s">
        <v>809</v>
      </c>
      <c r="AL37" s="57"/>
      <c r="AM37" s="57" t="s">
        <v>815</v>
      </c>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row>
    <row r="38" spans="1:74" ht="14.1" customHeight="1">
      <c r="A38" s="148"/>
      <c r="B38" s="144" t="s">
        <v>1546</v>
      </c>
      <c r="C38" s="144" t="s">
        <v>2054</v>
      </c>
      <c r="D38" s="144" t="s">
        <v>1862</v>
      </c>
      <c r="E38" s="144" t="s">
        <v>1854</v>
      </c>
      <c r="F38" s="144" t="s">
        <v>753</v>
      </c>
      <c r="G38" s="144" t="s">
        <v>1280</v>
      </c>
      <c r="H38" s="184" t="s">
        <v>2372</v>
      </c>
      <c r="I38" s="144" t="s">
        <v>2709</v>
      </c>
      <c r="J38" s="146" t="s">
        <v>239</v>
      </c>
      <c r="K38" s="144" t="s">
        <v>956</v>
      </c>
      <c r="L38" s="193" t="s">
        <v>239</v>
      </c>
      <c r="M38" s="144" t="s">
        <v>837</v>
      </c>
      <c r="N38" s="144" t="s">
        <v>55</v>
      </c>
      <c r="O38" s="140" t="s">
        <v>53</v>
      </c>
      <c r="P38" s="140"/>
      <c r="Q38" s="140" t="s">
        <v>537</v>
      </c>
      <c r="R38" s="140" t="s">
        <v>537</v>
      </c>
      <c r="S38" s="144" t="s">
        <v>30</v>
      </c>
      <c r="T38" s="165">
        <v>57</v>
      </c>
      <c r="U38" s="166">
        <v>58</v>
      </c>
      <c r="V38" s="189" t="s">
        <v>2</v>
      </c>
      <c r="W38" s="189" t="s">
        <v>2</v>
      </c>
      <c r="X38" s="189" t="s">
        <v>2</v>
      </c>
      <c r="Y38" s="189" t="s">
        <v>2</v>
      </c>
      <c r="Z38" s="189" t="s">
        <v>2</v>
      </c>
      <c r="AA38" s="137" t="s">
        <v>2</v>
      </c>
      <c r="AB38" s="137" t="s">
        <v>2</v>
      </c>
      <c r="AC38" s="155" t="s">
        <v>2</v>
      </c>
      <c r="AD38" s="138" t="s">
        <v>2</v>
      </c>
      <c r="AE38" s="138" t="s">
        <v>2</v>
      </c>
      <c r="AF38" s="137" t="s">
        <v>2</v>
      </c>
      <c r="AG38" s="138" t="s">
        <v>2</v>
      </c>
      <c r="AH38" s="138" t="s">
        <v>2</v>
      </c>
      <c r="AI38" s="138" t="s">
        <v>2</v>
      </c>
      <c r="AJ38" s="138" t="s">
        <v>2</v>
      </c>
      <c r="AK38" s="138" t="s">
        <v>2</v>
      </c>
      <c r="AL38" s="37"/>
      <c r="AM38" s="37" t="s">
        <v>2</v>
      </c>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row>
    <row r="39" spans="1:74" ht="14.1" customHeight="1">
      <c r="A39" s="148"/>
      <c r="B39" s="144" t="s">
        <v>1545</v>
      </c>
      <c r="C39" s="144" t="s">
        <v>2055</v>
      </c>
      <c r="D39" s="144" t="s">
        <v>1863</v>
      </c>
      <c r="E39" s="144" t="s">
        <v>1855</v>
      </c>
      <c r="F39" s="144" t="s">
        <v>755</v>
      </c>
      <c r="G39" s="144" t="s">
        <v>1281</v>
      </c>
      <c r="H39" s="184" t="s">
        <v>2373</v>
      </c>
      <c r="I39" s="144" t="s">
        <v>2710</v>
      </c>
      <c r="J39" s="146" t="s">
        <v>239</v>
      </c>
      <c r="K39" s="144" t="s">
        <v>957</v>
      </c>
      <c r="L39" s="193" t="s">
        <v>239</v>
      </c>
      <c r="M39" s="144" t="s">
        <v>839</v>
      </c>
      <c r="N39" s="144" t="s">
        <v>56</v>
      </c>
      <c r="O39" s="140" t="s">
        <v>54</v>
      </c>
      <c r="P39" s="140"/>
      <c r="Q39" s="140" t="s">
        <v>540</v>
      </c>
      <c r="R39" s="140" t="s">
        <v>540</v>
      </c>
      <c r="S39" s="144" t="s">
        <v>31</v>
      </c>
      <c r="T39" s="165">
        <v>59</v>
      </c>
      <c r="U39" s="166">
        <v>60</v>
      </c>
      <c r="V39" s="193" t="s">
        <v>10</v>
      </c>
      <c r="W39" s="140" t="s">
        <v>1486</v>
      </c>
      <c r="X39" s="193" t="s">
        <v>1914</v>
      </c>
      <c r="Y39" s="193" t="s">
        <v>1920</v>
      </c>
      <c r="Z39" s="193" t="s">
        <v>2237</v>
      </c>
      <c r="AA39" s="143" t="s">
        <v>820</v>
      </c>
      <c r="AB39" s="143" t="s">
        <v>1298</v>
      </c>
      <c r="AC39" s="154" t="s">
        <v>2426</v>
      </c>
      <c r="AD39" s="42" t="s">
        <v>3131</v>
      </c>
      <c r="AE39" s="146" t="s">
        <v>3084</v>
      </c>
      <c r="AF39" s="141" t="s">
        <v>2761</v>
      </c>
      <c r="AG39" s="146" t="s">
        <v>2948</v>
      </c>
      <c r="AH39" s="151" t="s">
        <v>1017</v>
      </c>
      <c r="AI39" s="146" t="s">
        <v>65</v>
      </c>
      <c r="AJ39" s="151" t="s">
        <v>822</v>
      </c>
      <c r="AK39" s="151" t="s">
        <v>1334</v>
      </c>
      <c r="AL39" s="57"/>
      <c r="AM39" s="57" t="s">
        <v>566</v>
      </c>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row>
    <row r="40" spans="1:74" ht="14.1" customHeight="1">
      <c r="A40" s="148"/>
      <c r="B40" s="189" t="s">
        <v>2</v>
      </c>
      <c r="C40" s="189" t="s">
        <v>2</v>
      </c>
      <c r="D40" s="189" t="s">
        <v>2</v>
      </c>
      <c r="E40" s="189" t="s">
        <v>2</v>
      </c>
      <c r="F40" s="189" t="s">
        <v>2</v>
      </c>
      <c r="G40" s="189" t="s">
        <v>2</v>
      </c>
      <c r="H40" s="180" t="s">
        <v>2</v>
      </c>
      <c r="I40" s="189" t="s">
        <v>2</v>
      </c>
      <c r="J40" s="189" t="s">
        <v>2</v>
      </c>
      <c r="K40" s="189" t="s">
        <v>2</v>
      </c>
      <c r="L40" s="189" t="s">
        <v>2</v>
      </c>
      <c r="M40" s="189" t="s">
        <v>2</v>
      </c>
      <c r="N40" s="189" t="s">
        <v>2</v>
      </c>
      <c r="O40" s="189" t="s">
        <v>2</v>
      </c>
      <c r="P40" s="189" t="s">
        <v>2</v>
      </c>
      <c r="Q40" s="189" t="s">
        <v>2</v>
      </c>
      <c r="R40" s="189" t="s">
        <v>2</v>
      </c>
      <c r="S40" s="189" t="s">
        <v>2</v>
      </c>
      <c r="T40" s="165">
        <v>61</v>
      </c>
      <c r="U40" s="166">
        <v>62</v>
      </c>
      <c r="V40" s="193" t="s">
        <v>11</v>
      </c>
      <c r="W40" s="140" t="s">
        <v>1485</v>
      </c>
      <c r="X40" s="193" t="s">
        <v>1915</v>
      </c>
      <c r="Y40" s="193" t="s">
        <v>1921</v>
      </c>
      <c r="Z40" s="193" t="s">
        <v>2238</v>
      </c>
      <c r="AA40" s="143" t="s">
        <v>823</v>
      </c>
      <c r="AB40" s="143" t="s">
        <v>1299</v>
      </c>
      <c r="AC40" s="154" t="s">
        <v>2427</v>
      </c>
      <c r="AD40" s="42" t="s">
        <v>3132</v>
      </c>
      <c r="AE40" s="146" t="s">
        <v>3085</v>
      </c>
      <c r="AF40" s="141" t="s">
        <v>2762</v>
      </c>
      <c r="AG40" s="146" t="s">
        <v>2949</v>
      </c>
      <c r="AH40" s="151" t="s">
        <v>1018</v>
      </c>
      <c r="AI40" s="146" t="s">
        <v>66</v>
      </c>
      <c r="AJ40" s="151" t="s">
        <v>825</v>
      </c>
      <c r="AK40" s="151" t="s">
        <v>1335</v>
      </c>
      <c r="AL40" s="57"/>
      <c r="AM40" s="57" t="s">
        <v>569</v>
      </c>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row>
    <row r="41" spans="1:74" ht="14.1" customHeight="1">
      <c r="A41" s="148"/>
      <c r="B41" s="140" t="s">
        <v>1484</v>
      </c>
      <c r="C41" s="193" t="s">
        <v>1838</v>
      </c>
      <c r="D41" s="193" t="s">
        <v>1864</v>
      </c>
      <c r="E41" s="193" t="s">
        <v>2217</v>
      </c>
      <c r="F41" s="140" t="s">
        <v>757</v>
      </c>
      <c r="G41" s="140" t="s">
        <v>1316</v>
      </c>
      <c r="H41" s="182" t="s">
        <v>2374</v>
      </c>
      <c r="I41" s="193" t="s">
        <v>3111</v>
      </c>
      <c r="J41" s="193" t="s">
        <v>3074</v>
      </c>
      <c r="K41" s="193" t="s">
        <v>2753</v>
      </c>
      <c r="L41" s="193" t="s">
        <v>2913</v>
      </c>
      <c r="M41" s="140" t="s">
        <v>780</v>
      </c>
      <c r="N41" s="193" t="s">
        <v>43</v>
      </c>
      <c r="O41" s="140" t="s">
        <v>759</v>
      </c>
      <c r="P41" s="140" t="s">
        <v>1330</v>
      </c>
      <c r="Q41" s="140" t="s">
        <v>560</v>
      </c>
      <c r="R41" s="140" t="s">
        <v>560</v>
      </c>
      <c r="S41" s="193" t="s">
        <v>10</v>
      </c>
      <c r="T41" s="165">
        <v>63</v>
      </c>
      <c r="U41" s="166">
        <v>64</v>
      </c>
      <c r="V41" s="194" t="s">
        <v>9</v>
      </c>
      <c r="W41" s="194" t="s">
        <v>1605</v>
      </c>
      <c r="X41" s="194" t="s">
        <v>763</v>
      </c>
      <c r="Y41" s="194" t="s">
        <v>764</v>
      </c>
      <c r="Z41" s="194" t="s">
        <v>795</v>
      </c>
      <c r="AA41" s="149" t="s">
        <v>1006</v>
      </c>
      <c r="AB41" s="149" t="s">
        <v>1139</v>
      </c>
      <c r="AC41" s="153" t="s">
        <v>2181</v>
      </c>
      <c r="AD41" s="150" t="s">
        <v>2181</v>
      </c>
      <c r="AE41" s="150" t="s">
        <v>2182</v>
      </c>
      <c r="AF41" s="149" t="s">
        <v>765</v>
      </c>
      <c r="AG41" s="150" t="s">
        <v>2182</v>
      </c>
      <c r="AH41" s="150" t="s">
        <v>796</v>
      </c>
      <c r="AI41" s="150" t="s">
        <v>413</v>
      </c>
      <c r="AJ41" s="150" t="s">
        <v>413</v>
      </c>
      <c r="AK41" s="150" t="s">
        <v>413</v>
      </c>
      <c r="AL41" s="38"/>
      <c r="AM41" s="38" t="s">
        <v>413</v>
      </c>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row>
    <row r="42" spans="1:74" ht="14.1" customHeight="1">
      <c r="A42" s="148"/>
      <c r="B42" s="140" t="s">
        <v>1483</v>
      </c>
      <c r="C42" s="193" t="s">
        <v>1839</v>
      </c>
      <c r="D42" s="193" t="s">
        <v>1865</v>
      </c>
      <c r="E42" s="193" t="s">
        <v>2218</v>
      </c>
      <c r="F42" s="140" t="s">
        <v>760</v>
      </c>
      <c r="G42" s="140" t="s">
        <v>1317</v>
      </c>
      <c r="H42" s="182" t="s">
        <v>2375</v>
      </c>
      <c r="I42" s="193" t="s">
        <v>3112</v>
      </c>
      <c r="J42" s="193" t="s">
        <v>3075</v>
      </c>
      <c r="K42" s="193" t="s">
        <v>2754</v>
      </c>
      <c r="L42" s="193" t="s">
        <v>2914</v>
      </c>
      <c r="M42" s="140" t="s">
        <v>781</v>
      </c>
      <c r="N42" s="193" t="s">
        <v>44</v>
      </c>
      <c r="O42" s="140" t="s">
        <v>762</v>
      </c>
      <c r="P42" s="140" t="s">
        <v>1331</v>
      </c>
      <c r="Q42" s="140" t="s">
        <v>563</v>
      </c>
      <c r="R42" s="140" t="s">
        <v>563</v>
      </c>
      <c r="S42" s="193" t="s">
        <v>11</v>
      </c>
      <c r="T42" s="165">
        <v>65</v>
      </c>
      <c r="U42" s="166">
        <v>66</v>
      </c>
      <c r="V42" s="193" t="s">
        <v>10</v>
      </c>
      <c r="W42" s="140" t="s">
        <v>1482</v>
      </c>
      <c r="X42" s="193" t="s">
        <v>1912</v>
      </c>
      <c r="Y42" s="193" t="s">
        <v>1922</v>
      </c>
      <c r="Z42" s="193" t="s">
        <v>2239</v>
      </c>
      <c r="AA42" s="143" t="s">
        <v>826</v>
      </c>
      <c r="AB42" s="143" t="s">
        <v>1300</v>
      </c>
      <c r="AC42" s="154" t="s">
        <v>2428</v>
      </c>
      <c r="AD42" s="42" t="s">
        <v>3133</v>
      </c>
      <c r="AE42" s="146" t="s">
        <v>3086</v>
      </c>
      <c r="AF42" s="141" t="s">
        <v>2763</v>
      </c>
      <c r="AG42" s="146" t="s">
        <v>2950</v>
      </c>
      <c r="AH42" s="151" t="s">
        <v>1011</v>
      </c>
      <c r="AI42" s="146" t="s">
        <v>45</v>
      </c>
      <c r="AJ42" s="151" t="s">
        <v>828</v>
      </c>
      <c r="AK42" s="151" t="s">
        <v>1336</v>
      </c>
      <c r="AL42" s="57"/>
      <c r="AM42" s="57" t="s">
        <v>550</v>
      </c>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row>
    <row r="43" spans="1:74" ht="14.1" customHeight="1">
      <c r="A43" s="148"/>
      <c r="B43" s="194" t="s">
        <v>1605</v>
      </c>
      <c r="C43" s="194" t="s">
        <v>763</v>
      </c>
      <c r="D43" s="194" t="s">
        <v>764</v>
      </c>
      <c r="E43" s="194" t="s">
        <v>764</v>
      </c>
      <c r="F43" s="194" t="s">
        <v>1006</v>
      </c>
      <c r="G43" s="194" t="s">
        <v>1139</v>
      </c>
      <c r="H43" s="176" t="s">
        <v>2182</v>
      </c>
      <c r="I43" s="194" t="s">
        <v>2182</v>
      </c>
      <c r="J43" s="194" t="s">
        <v>2182</v>
      </c>
      <c r="K43" s="194" t="s">
        <v>934</v>
      </c>
      <c r="L43" s="194" t="s">
        <v>2182</v>
      </c>
      <c r="M43" s="194" t="s">
        <v>765</v>
      </c>
      <c r="N43" s="194" t="s">
        <v>413</v>
      </c>
      <c r="O43" s="194" t="s">
        <v>413</v>
      </c>
      <c r="P43" s="194" t="s">
        <v>413</v>
      </c>
      <c r="Q43" s="194" t="s">
        <v>413</v>
      </c>
      <c r="R43" s="194" t="s">
        <v>413</v>
      </c>
      <c r="S43" s="194" t="s">
        <v>9</v>
      </c>
      <c r="T43" s="165">
        <v>67</v>
      </c>
      <c r="U43" s="166">
        <v>68</v>
      </c>
      <c r="V43" s="193" t="s">
        <v>11</v>
      </c>
      <c r="W43" s="140" t="s">
        <v>1481</v>
      </c>
      <c r="X43" s="193" t="s">
        <v>1913</v>
      </c>
      <c r="Y43" s="193" t="s">
        <v>1923</v>
      </c>
      <c r="Z43" s="193" t="s">
        <v>2240</v>
      </c>
      <c r="AA43" s="143" t="s">
        <v>829</v>
      </c>
      <c r="AB43" s="143" t="s">
        <v>1301</v>
      </c>
      <c r="AC43" s="154" t="s">
        <v>2429</v>
      </c>
      <c r="AD43" s="42" t="s">
        <v>3134</v>
      </c>
      <c r="AE43" s="146" t="s">
        <v>3087</v>
      </c>
      <c r="AF43" s="141" t="s">
        <v>2764</v>
      </c>
      <c r="AG43" s="146" t="s">
        <v>2951</v>
      </c>
      <c r="AH43" s="151" t="s">
        <v>1012</v>
      </c>
      <c r="AI43" s="146" t="s">
        <v>47</v>
      </c>
      <c r="AJ43" s="151" t="s">
        <v>831</v>
      </c>
      <c r="AK43" s="151" t="s">
        <v>1337</v>
      </c>
      <c r="AL43" s="57"/>
      <c r="AM43" s="57" t="s">
        <v>553</v>
      </c>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row>
    <row r="44" spans="1:74" ht="14.1" customHeight="1">
      <c r="A44" s="148"/>
      <c r="B44" s="140" t="s">
        <v>1480</v>
      </c>
      <c r="C44" s="193" t="s">
        <v>1840</v>
      </c>
      <c r="D44" s="193" t="s">
        <v>1866</v>
      </c>
      <c r="E44" s="193" t="s">
        <v>2219</v>
      </c>
      <c r="F44" s="140" t="s">
        <v>766</v>
      </c>
      <c r="G44" s="140" t="s">
        <v>1318</v>
      </c>
      <c r="H44" s="182" t="s">
        <v>2376</v>
      </c>
      <c r="I44" s="193" t="s">
        <v>3113</v>
      </c>
      <c r="J44" s="193" t="s">
        <v>3076</v>
      </c>
      <c r="K44" s="193" t="s">
        <v>2755</v>
      </c>
      <c r="L44" s="193" t="s">
        <v>2915</v>
      </c>
      <c r="M44" s="140" t="s">
        <v>782</v>
      </c>
      <c r="N44" s="193" t="s">
        <v>57</v>
      </c>
      <c r="O44" s="140" t="s">
        <v>767</v>
      </c>
      <c r="P44" s="140" t="s">
        <v>1332</v>
      </c>
      <c r="Q44" s="140" t="s">
        <v>544</v>
      </c>
      <c r="R44" s="140" t="s">
        <v>544</v>
      </c>
      <c r="S44" s="193" t="s">
        <v>10</v>
      </c>
      <c r="T44" s="165">
        <v>69</v>
      </c>
      <c r="U44" s="166">
        <v>70</v>
      </c>
      <c r="V44" s="189" t="s">
        <v>2</v>
      </c>
      <c r="W44" s="189" t="s">
        <v>2</v>
      </c>
      <c r="X44" s="189" t="s">
        <v>2</v>
      </c>
      <c r="Y44" s="189" t="s">
        <v>2</v>
      </c>
      <c r="Z44" s="189" t="s">
        <v>2</v>
      </c>
      <c r="AA44" s="137" t="s">
        <v>2</v>
      </c>
      <c r="AB44" s="137" t="s">
        <v>2</v>
      </c>
      <c r="AC44" s="155" t="s">
        <v>2</v>
      </c>
      <c r="AD44" s="138" t="s">
        <v>2</v>
      </c>
      <c r="AE44" s="138" t="s">
        <v>2</v>
      </c>
      <c r="AF44" s="137" t="s">
        <v>2</v>
      </c>
      <c r="AG44" s="138" t="s">
        <v>2</v>
      </c>
      <c r="AH44" s="138" t="s">
        <v>2</v>
      </c>
      <c r="AI44" s="138" t="s">
        <v>2</v>
      </c>
      <c r="AJ44" s="138" t="s">
        <v>2</v>
      </c>
      <c r="AK44" s="138" t="s">
        <v>2</v>
      </c>
      <c r="AL44" s="37"/>
      <c r="AM44" s="37" t="s">
        <v>2</v>
      </c>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row>
    <row r="45" spans="1:74" ht="14.1" customHeight="1">
      <c r="A45" s="148"/>
      <c r="B45" s="140" t="s">
        <v>1479</v>
      </c>
      <c r="C45" s="193" t="s">
        <v>1841</v>
      </c>
      <c r="D45" s="193" t="s">
        <v>1867</v>
      </c>
      <c r="E45" s="193" t="s">
        <v>2220</v>
      </c>
      <c r="F45" s="140" t="s">
        <v>768</v>
      </c>
      <c r="G45" s="140" t="s">
        <v>1319</v>
      </c>
      <c r="H45" s="182" t="s">
        <v>2377</v>
      </c>
      <c r="I45" s="193" t="s">
        <v>3114</v>
      </c>
      <c r="J45" s="193" t="s">
        <v>3077</v>
      </c>
      <c r="K45" s="193" t="s">
        <v>2756</v>
      </c>
      <c r="L45" s="193" t="s">
        <v>2916</v>
      </c>
      <c r="M45" s="140" t="s">
        <v>783</v>
      </c>
      <c r="N45" s="193" t="s">
        <v>58</v>
      </c>
      <c r="O45" s="140" t="s">
        <v>770</v>
      </c>
      <c r="P45" s="140" t="s">
        <v>1333</v>
      </c>
      <c r="Q45" s="140" t="s">
        <v>547</v>
      </c>
      <c r="R45" s="140" t="s">
        <v>547</v>
      </c>
      <c r="S45" s="193" t="s">
        <v>11</v>
      </c>
      <c r="T45" s="165">
        <v>71</v>
      </c>
      <c r="U45" s="166">
        <v>72</v>
      </c>
      <c r="V45" s="193" t="s">
        <v>10</v>
      </c>
      <c r="W45" s="140" t="s">
        <v>1556</v>
      </c>
      <c r="X45" s="193" t="s">
        <v>1910</v>
      </c>
      <c r="Y45" s="193" t="s">
        <v>1924</v>
      </c>
      <c r="Z45" s="193" t="s">
        <v>1894</v>
      </c>
      <c r="AA45" s="143" t="s">
        <v>832</v>
      </c>
      <c r="AB45" s="143" t="s">
        <v>1130</v>
      </c>
      <c r="AC45" s="154" t="s">
        <v>2430</v>
      </c>
      <c r="AD45" s="42" t="s">
        <v>2665</v>
      </c>
      <c r="AE45" s="151" t="s">
        <v>2490</v>
      </c>
      <c r="AF45" s="142" t="s">
        <v>966</v>
      </c>
      <c r="AG45" s="146" t="s">
        <v>2952</v>
      </c>
      <c r="AH45" s="145" t="s">
        <v>1021</v>
      </c>
      <c r="AI45" s="146" t="s">
        <v>61</v>
      </c>
      <c r="AJ45" s="151" t="s">
        <v>101</v>
      </c>
      <c r="AK45" s="151" t="s">
        <v>101</v>
      </c>
      <c r="AL45" s="57"/>
      <c r="AM45" s="57" t="s">
        <v>657</v>
      </c>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row>
    <row r="46" spans="1:74" ht="14.1" customHeight="1">
      <c r="A46" s="148"/>
      <c r="B46" s="189" t="s">
        <v>2</v>
      </c>
      <c r="C46" s="189" t="s">
        <v>2</v>
      </c>
      <c r="D46" s="189" t="s">
        <v>2</v>
      </c>
      <c r="E46" s="189" t="s">
        <v>2</v>
      </c>
      <c r="F46" s="189" t="s">
        <v>2</v>
      </c>
      <c r="G46" s="189" t="s">
        <v>2</v>
      </c>
      <c r="H46" s="180" t="s">
        <v>2</v>
      </c>
      <c r="I46" s="189" t="s">
        <v>2</v>
      </c>
      <c r="J46" s="189" t="s">
        <v>2</v>
      </c>
      <c r="K46" s="189" t="s">
        <v>2</v>
      </c>
      <c r="L46" s="189" t="s">
        <v>2</v>
      </c>
      <c r="M46" s="189" t="s">
        <v>2</v>
      </c>
      <c r="N46" s="189" t="s">
        <v>2</v>
      </c>
      <c r="O46" s="189" t="s">
        <v>2</v>
      </c>
      <c r="P46" s="189" t="s">
        <v>2</v>
      </c>
      <c r="Q46" s="189" t="s">
        <v>2</v>
      </c>
      <c r="R46" s="189" t="s">
        <v>2</v>
      </c>
      <c r="S46" s="189" t="s">
        <v>2</v>
      </c>
      <c r="T46" s="165">
        <v>73</v>
      </c>
      <c r="U46" s="166">
        <v>74</v>
      </c>
      <c r="V46" s="193" t="s">
        <v>11</v>
      </c>
      <c r="W46" s="140" t="s">
        <v>1555</v>
      </c>
      <c r="X46" s="193" t="s">
        <v>1911</v>
      </c>
      <c r="Y46" s="193" t="s">
        <v>1925</v>
      </c>
      <c r="Z46" s="193" t="s">
        <v>1895</v>
      </c>
      <c r="AA46" s="143" t="s">
        <v>834</v>
      </c>
      <c r="AB46" s="143" t="s">
        <v>1131</v>
      </c>
      <c r="AC46" s="154" t="s">
        <v>2431</v>
      </c>
      <c r="AD46" s="42" t="s">
        <v>2747</v>
      </c>
      <c r="AE46" s="151" t="s">
        <v>2491</v>
      </c>
      <c r="AF46" s="142" t="s">
        <v>967</v>
      </c>
      <c r="AG46" s="146" t="s">
        <v>2953</v>
      </c>
      <c r="AH46" s="145" t="s">
        <v>1022</v>
      </c>
      <c r="AI46" s="146" t="s">
        <v>63</v>
      </c>
      <c r="AJ46" s="151" t="s">
        <v>102</v>
      </c>
      <c r="AK46" s="151" t="s">
        <v>102</v>
      </c>
      <c r="AL46" s="57"/>
      <c r="AM46" s="57" t="s">
        <v>660</v>
      </c>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row>
    <row r="47" spans="1:74" ht="14.1" customHeight="1">
      <c r="A47" s="148"/>
      <c r="B47" s="140" t="s">
        <v>1554</v>
      </c>
      <c r="C47" s="193" t="s">
        <v>1842</v>
      </c>
      <c r="D47" s="193" t="s">
        <v>1868</v>
      </c>
      <c r="E47" s="193" t="s">
        <v>1930</v>
      </c>
      <c r="F47" s="140" t="s">
        <v>771</v>
      </c>
      <c r="G47" s="140" t="s">
        <v>1098</v>
      </c>
      <c r="H47" s="182" t="s">
        <v>2586</v>
      </c>
      <c r="I47" s="193" t="s">
        <v>2701</v>
      </c>
      <c r="J47" s="146" t="s">
        <v>239</v>
      </c>
      <c r="K47" s="140" t="s">
        <v>1037</v>
      </c>
      <c r="L47" s="193" t="s">
        <v>239</v>
      </c>
      <c r="M47" s="140" t="s">
        <v>848</v>
      </c>
      <c r="N47" s="193" t="s">
        <v>41</v>
      </c>
      <c r="O47" s="140" t="s">
        <v>46</v>
      </c>
      <c r="P47" s="140"/>
      <c r="Q47" s="140" t="s">
        <v>525</v>
      </c>
      <c r="R47" s="140" t="s">
        <v>525</v>
      </c>
      <c r="S47" s="193" t="s">
        <v>10</v>
      </c>
      <c r="T47" s="165">
        <v>75</v>
      </c>
      <c r="U47" s="166">
        <v>76</v>
      </c>
      <c r="V47" s="194" t="s">
        <v>6</v>
      </c>
      <c r="W47" s="194" t="s">
        <v>4</v>
      </c>
      <c r="X47" s="194" t="s">
        <v>236</v>
      </c>
      <c r="Y47" s="194" t="s">
        <v>4</v>
      </c>
      <c r="Z47" s="194" t="s">
        <v>4</v>
      </c>
      <c r="AA47" s="149" t="s">
        <v>4</v>
      </c>
      <c r="AB47" s="149" t="s">
        <v>4</v>
      </c>
      <c r="AC47" s="153" t="s">
        <v>4</v>
      </c>
      <c r="AD47" s="150" t="s">
        <v>4</v>
      </c>
      <c r="AE47" s="150" t="s">
        <v>4</v>
      </c>
      <c r="AF47" s="149" t="s">
        <v>4</v>
      </c>
      <c r="AG47" s="150" t="s">
        <v>4</v>
      </c>
      <c r="AH47" s="150" t="s">
        <v>4</v>
      </c>
      <c r="AI47" s="150" t="s">
        <v>476</v>
      </c>
      <c r="AJ47" s="150" t="s">
        <v>816</v>
      </c>
      <c r="AK47" s="150" t="s">
        <v>816</v>
      </c>
      <c r="AL47" s="38"/>
      <c r="AM47" s="38" t="s">
        <v>816</v>
      </c>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row>
    <row r="48" spans="1:74" ht="14.1" customHeight="1">
      <c r="A48" s="148"/>
      <c r="B48" s="140" t="s">
        <v>1553</v>
      </c>
      <c r="C48" s="193" t="s">
        <v>1843</v>
      </c>
      <c r="D48" s="193" t="s">
        <v>1869</v>
      </c>
      <c r="E48" s="193" t="s">
        <v>1931</v>
      </c>
      <c r="F48" s="140" t="s">
        <v>773</v>
      </c>
      <c r="G48" s="140" t="s">
        <v>1099</v>
      </c>
      <c r="H48" s="182" t="s">
        <v>2378</v>
      </c>
      <c r="I48" s="193" t="s">
        <v>2702</v>
      </c>
      <c r="J48" s="146" t="s">
        <v>239</v>
      </c>
      <c r="K48" s="140" t="s">
        <v>1038</v>
      </c>
      <c r="L48" s="193" t="s">
        <v>239</v>
      </c>
      <c r="M48" s="140" t="s">
        <v>850</v>
      </c>
      <c r="N48" s="193" t="s">
        <v>42</v>
      </c>
      <c r="O48" s="140" t="s">
        <v>48</v>
      </c>
      <c r="P48" s="140"/>
      <c r="Q48" s="140" t="s">
        <v>528</v>
      </c>
      <c r="R48" s="140" t="s">
        <v>528</v>
      </c>
      <c r="S48" s="193" t="s">
        <v>11</v>
      </c>
      <c r="T48" s="165">
        <v>77</v>
      </c>
      <c r="U48" s="166">
        <v>78</v>
      </c>
      <c r="V48" s="144" t="s">
        <v>30</v>
      </c>
      <c r="W48" s="144" t="s">
        <v>1544</v>
      </c>
      <c r="X48" s="144" t="s">
        <v>2056</v>
      </c>
      <c r="Y48" s="144" t="s">
        <v>1926</v>
      </c>
      <c r="Z48" s="144" t="s">
        <v>1948</v>
      </c>
      <c r="AA48" s="142" t="s">
        <v>836</v>
      </c>
      <c r="AB48" s="142" t="s">
        <v>1062</v>
      </c>
      <c r="AC48" s="158" t="s">
        <v>2432</v>
      </c>
      <c r="AD48" s="223" t="s">
        <v>2674</v>
      </c>
      <c r="AE48" s="145" t="s">
        <v>2492</v>
      </c>
      <c r="AF48" s="142" t="s">
        <v>968</v>
      </c>
      <c r="AG48" s="145" t="s">
        <v>2954</v>
      </c>
      <c r="AH48" s="145" t="s">
        <v>893</v>
      </c>
      <c r="AI48" s="145" t="s">
        <v>480</v>
      </c>
      <c r="AJ48" s="151" t="s">
        <v>152</v>
      </c>
      <c r="AK48" s="151"/>
      <c r="AL48" s="57"/>
      <c r="AM48" s="57" t="s">
        <v>1834</v>
      </c>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row>
    <row r="49" spans="1:74" ht="14.1" customHeight="1">
      <c r="A49" s="148"/>
      <c r="B49" s="194" t="s">
        <v>3</v>
      </c>
      <c r="C49" s="194" t="s">
        <v>3</v>
      </c>
      <c r="D49" s="194" t="s">
        <v>3</v>
      </c>
      <c r="E49" s="194" t="s">
        <v>3</v>
      </c>
      <c r="F49" s="194" t="s">
        <v>3</v>
      </c>
      <c r="G49" s="194" t="s">
        <v>3</v>
      </c>
      <c r="H49" s="176" t="s">
        <v>3</v>
      </c>
      <c r="I49" s="194" t="s">
        <v>3</v>
      </c>
      <c r="J49" s="194" t="s">
        <v>3</v>
      </c>
      <c r="K49" s="194" t="s">
        <v>3</v>
      </c>
      <c r="L49" s="194" t="s">
        <v>3</v>
      </c>
      <c r="M49" s="194" t="s">
        <v>3</v>
      </c>
      <c r="N49" s="194" t="s">
        <v>3</v>
      </c>
      <c r="O49" s="194" t="s">
        <v>541</v>
      </c>
      <c r="P49" s="194" t="s">
        <v>541</v>
      </c>
      <c r="Q49" s="194" t="s">
        <v>541</v>
      </c>
      <c r="R49" s="194" t="s">
        <v>541</v>
      </c>
      <c r="S49" s="194" t="s">
        <v>261</v>
      </c>
      <c r="T49" s="165">
        <v>79</v>
      </c>
      <c r="U49" s="166">
        <v>80</v>
      </c>
      <c r="V49" s="144" t="s">
        <v>31</v>
      </c>
      <c r="W49" s="144" t="s">
        <v>1543</v>
      </c>
      <c r="X49" s="144" t="s">
        <v>2057</v>
      </c>
      <c r="Y49" s="144" t="s">
        <v>1927</v>
      </c>
      <c r="Z49" s="144" t="s">
        <v>1949</v>
      </c>
      <c r="AA49" s="142" t="s">
        <v>838</v>
      </c>
      <c r="AB49" s="142" t="s">
        <v>1063</v>
      </c>
      <c r="AC49" s="158" t="s">
        <v>2433</v>
      </c>
      <c r="AD49" s="223" t="s">
        <v>2675</v>
      </c>
      <c r="AE49" s="145" t="s">
        <v>2493</v>
      </c>
      <c r="AF49" s="142" t="s">
        <v>969</v>
      </c>
      <c r="AG49" s="145" t="s">
        <v>2955</v>
      </c>
      <c r="AH49" s="145" t="s">
        <v>894</v>
      </c>
      <c r="AI49" s="145" t="s">
        <v>481</v>
      </c>
      <c r="AJ49" s="151" t="s">
        <v>153</v>
      </c>
      <c r="AK49" s="151"/>
      <c r="AL49" s="57"/>
      <c r="AM49" s="57" t="s">
        <v>1835</v>
      </c>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row>
    <row r="50" spans="1:74" ht="14.1" customHeight="1">
      <c r="A50" s="148"/>
      <c r="B50" s="140" t="s">
        <v>1550</v>
      </c>
      <c r="C50" s="193" t="s">
        <v>1844</v>
      </c>
      <c r="D50" s="144" t="s">
        <v>1870</v>
      </c>
      <c r="E50" s="193" t="s">
        <v>1872</v>
      </c>
      <c r="F50" s="140" t="s">
        <v>2788</v>
      </c>
      <c r="G50" s="140" t="s">
        <v>1096</v>
      </c>
      <c r="H50" s="182" t="s">
        <v>2379</v>
      </c>
      <c r="I50" s="193" t="s">
        <v>2699</v>
      </c>
      <c r="J50" s="146" t="s">
        <v>239</v>
      </c>
      <c r="K50" s="140" t="s">
        <v>1000</v>
      </c>
      <c r="L50" s="193" t="s">
        <v>239</v>
      </c>
      <c r="M50" s="140" t="s">
        <v>775</v>
      </c>
      <c r="N50" s="193" t="s">
        <v>59</v>
      </c>
      <c r="O50" s="140" t="s">
        <v>50</v>
      </c>
      <c r="P50" s="140"/>
      <c r="Q50" s="140" t="s">
        <v>1836</v>
      </c>
      <c r="R50" s="140" t="s">
        <v>1836</v>
      </c>
      <c r="S50" s="144" t="s">
        <v>32</v>
      </c>
      <c r="T50" s="165">
        <v>81</v>
      </c>
      <c r="U50" s="166">
        <v>82</v>
      </c>
      <c r="V50" s="189" t="s">
        <v>2</v>
      </c>
      <c r="W50" s="189" t="s">
        <v>2</v>
      </c>
      <c r="X50" s="189" t="s">
        <v>2</v>
      </c>
      <c r="Y50" s="189" t="s">
        <v>2</v>
      </c>
      <c r="Z50" s="189" t="s">
        <v>2</v>
      </c>
      <c r="AA50" s="137" t="s">
        <v>2</v>
      </c>
      <c r="AB50" s="137" t="s">
        <v>2</v>
      </c>
      <c r="AC50" s="155" t="s">
        <v>2</v>
      </c>
      <c r="AD50" s="138" t="s">
        <v>2</v>
      </c>
      <c r="AE50" s="138" t="s">
        <v>2</v>
      </c>
      <c r="AF50" s="137" t="s">
        <v>2</v>
      </c>
      <c r="AG50" s="138" t="s">
        <v>2</v>
      </c>
      <c r="AH50" s="138" t="s">
        <v>2</v>
      </c>
      <c r="AI50" s="138" t="s">
        <v>2</v>
      </c>
      <c r="AJ50" s="138" t="s">
        <v>2</v>
      </c>
      <c r="AK50" s="138" t="s">
        <v>2</v>
      </c>
      <c r="AL50" s="37"/>
      <c r="AM50" s="37" t="s">
        <v>2</v>
      </c>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row>
    <row r="51" spans="1:74" ht="14.1" customHeight="1">
      <c r="A51" s="148"/>
      <c r="B51" s="140" t="s">
        <v>1549</v>
      </c>
      <c r="C51" s="193" t="s">
        <v>1845</v>
      </c>
      <c r="D51" s="144" t="s">
        <v>1871</v>
      </c>
      <c r="E51" s="193" t="s">
        <v>1873</v>
      </c>
      <c r="F51" s="140" t="s">
        <v>2789</v>
      </c>
      <c r="G51" s="140" t="s">
        <v>1097</v>
      </c>
      <c r="H51" s="182" t="s">
        <v>2380</v>
      </c>
      <c r="I51" s="193" t="s">
        <v>2700</v>
      </c>
      <c r="J51" s="146" t="s">
        <v>239</v>
      </c>
      <c r="K51" s="140" t="s">
        <v>1001</v>
      </c>
      <c r="L51" s="193" t="s">
        <v>239</v>
      </c>
      <c r="M51" s="140" t="s">
        <v>776</v>
      </c>
      <c r="N51" s="193" t="s">
        <v>60</v>
      </c>
      <c r="O51" s="140" t="s">
        <v>52</v>
      </c>
      <c r="P51" s="140"/>
      <c r="Q51" s="140" t="s">
        <v>1837</v>
      </c>
      <c r="R51" s="140" t="s">
        <v>1837</v>
      </c>
      <c r="S51" s="144" t="s">
        <v>33</v>
      </c>
      <c r="T51" s="165">
        <v>83</v>
      </c>
      <c r="U51" s="166">
        <v>84</v>
      </c>
      <c r="V51" s="193" t="s">
        <v>10</v>
      </c>
      <c r="W51" s="140" t="s">
        <v>1552</v>
      </c>
      <c r="X51" s="193" t="s">
        <v>1908</v>
      </c>
      <c r="Y51" s="193" t="s">
        <v>1928</v>
      </c>
      <c r="Z51" s="193" t="s">
        <v>2171</v>
      </c>
      <c r="AA51" s="143" t="s">
        <v>840</v>
      </c>
      <c r="AB51" s="143" t="s">
        <v>1122</v>
      </c>
      <c r="AC51" s="154" t="s">
        <v>2434</v>
      </c>
      <c r="AD51" s="42" t="s">
        <v>2666</v>
      </c>
      <c r="AE51" s="151" t="s">
        <v>2494</v>
      </c>
      <c r="AF51" s="143" t="s">
        <v>962</v>
      </c>
      <c r="AG51" s="146" t="s">
        <v>2956</v>
      </c>
      <c r="AH51" s="151" t="s">
        <v>1033</v>
      </c>
      <c r="AI51" s="146" t="s">
        <v>49</v>
      </c>
      <c r="AJ51" s="151" t="s">
        <v>99</v>
      </c>
      <c r="AK51" s="151"/>
      <c r="AL51" s="57"/>
      <c r="AM51" s="57" t="s">
        <v>651</v>
      </c>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row>
    <row r="52" spans="1:74" ht="14.1" customHeight="1">
      <c r="A52" s="148"/>
      <c r="B52" s="189" t="s">
        <v>2</v>
      </c>
      <c r="C52" s="189" t="s">
        <v>2</v>
      </c>
      <c r="D52" s="189" t="s">
        <v>2</v>
      </c>
      <c r="E52" s="189" t="s">
        <v>2</v>
      </c>
      <c r="F52" s="189" t="s">
        <v>2</v>
      </c>
      <c r="G52" s="189" t="s">
        <v>2</v>
      </c>
      <c r="H52" s="180" t="s">
        <v>2</v>
      </c>
      <c r="I52" s="189" t="s">
        <v>2</v>
      </c>
      <c r="J52" s="189" t="s">
        <v>2</v>
      </c>
      <c r="K52" s="189" t="s">
        <v>2</v>
      </c>
      <c r="L52" s="189" t="s">
        <v>2</v>
      </c>
      <c r="M52" s="189" t="s">
        <v>2</v>
      </c>
      <c r="N52" s="189" t="s">
        <v>2</v>
      </c>
      <c r="O52" s="189" t="s">
        <v>2</v>
      </c>
      <c r="P52" s="189" t="s">
        <v>2</v>
      </c>
      <c r="Q52" s="189" t="s">
        <v>2</v>
      </c>
      <c r="R52" s="189" t="s">
        <v>2</v>
      </c>
      <c r="S52" s="189" t="s">
        <v>2</v>
      </c>
      <c r="T52" s="165">
        <v>85</v>
      </c>
      <c r="U52" s="166">
        <v>86</v>
      </c>
      <c r="V52" s="193" t="s">
        <v>11</v>
      </c>
      <c r="W52" s="140" t="s">
        <v>1551</v>
      </c>
      <c r="X52" s="193" t="s">
        <v>1909</v>
      </c>
      <c r="Y52" s="193" t="s">
        <v>1929</v>
      </c>
      <c r="Z52" s="193" t="s">
        <v>2170</v>
      </c>
      <c r="AA52" s="143" t="s">
        <v>842</v>
      </c>
      <c r="AB52" s="143" t="s">
        <v>1123</v>
      </c>
      <c r="AC52" s="154" t="s">
        <v>2435</v>
      </c>
      <c r="AD52" s="42" t="s">
        <v>2667</v>
      </c>
      <c r="AE52" s="151" t="s">
        <v>2495</v>
      </c>
      <c r="AF52" s="143" t="s">
        <v>963</v>
      </c>
      <c r="AG52" s="146" t="s">
        <v>2957</v>
      </c>
      <c r="AH52" s="151" t="s">
        <v>1034</v>
      </c>
      <c r="AI52" s="146" t="s">
        <v>51</v>
      </c>
      <c r="AJ52" s="151" t="s">
        <v>100</v>
      </c>
      <c r="AK52" s="151"/>
      <c r="AL52" s="57"/>
      <c r="AM52" s="57" t="s">
        <v>654</v>
      </c>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row>
    <row r="53" spans="1:74" ht="14.1" customHeight="1">
      <c r="A53" s="148"/>
      <c r="B53" s="140" t="s">
        <v>1536</v>
      </c>
      <c r="C53" s="193" t="s">
        <v>414</v>
      </c>
      <c r="D53" s="193" t="s">
        <v>1872</v>
      </c>
      <c r="E53" s="193" t="s">
        <v>1858</v>
      </c>
      <c r="F53" s="140" t="s">
        <v>2790</v>
      </c>
      <c r="G53" s="140" t="s">
        <v>1094</v>
      </c>
      <c r="H53" s="182" t="s">
        <v>2381</v>
      </c>
      <c r="I53" s="193" t="s">
        <v>2703</v>
      </c>
      <c r="J53" s="146" t="s">
        <v>239</v>
      </c>
      <c r="K53" s="140" t="s">
        <v>996</v>
      </c>
      <c r="L53" s="193" t="s">
        <v>239</v>
      </c>
      <c r="M53" s="140" t="s">
        <v>772</v>
      </c>
      <c r="N53" s="193" t="s">
        <v>404</v>
      </c>
      <c r="O53" s="140" t="s">
        <v>62</v>
      </c>
      <c r="P53" s="140"/>
      <c r="Q53" s="140" t="s">
        <v>667</v>
      </c>
      <c r="R53" s="140" t="s">
        <v>667</v>
      </c>
      <c r="S53" s="193" t="s">
        <v>10</v>
      </c>
      <c r="T53" s="165">
        <v>87</v>
      </c>
      <c r="U53" s="166">
        <v>88</v>
      </c>
      <c r="V53" s="194" t="s">
        <v>9</v>
      </c>
      <c r="W53" s="194" t="s">
        <v>1605</v>
      </c>
      <c r="X53" s="194" t="s">
        <v>779</v>
      </c>
      <c r="Y53" s="194" t="s">
        <v>764</v>
      </c>
      <c r="Z53" s="194" t="s">
        <v>795</v>
      </c>
      <c r="AA53" s="149" t="s">
        <v>1006</v>
      </c>
      <c r="AB53" s="149" t="s">
        <v>1139</v>
      </c>
      <c r="AC53" s="153" t="s">
        <v>2181</v>
      </c>
      <c r="AD53" s="150" t="s">
        <v>2181</v>
      </c>
      <c r="AE53" s="150" t="s">
        <v>2182</v>
      </c>
      <c r="AF53" s="149" t="s">
        <v>765</v>
      </c>
      <c r="AG53" s="150" t="s">
        <v>2182</v>
      </c>
      <c r="AH53" s="150" t="s">
        <v>796</v>
      </c>
      <c r="AI53" s="150" t="s">
        <v>413</v>
      </c>
      <c r="AJ53" s="150" t="s">
        <v>413</v>
      </c>
      <c r="AK53" s="150" t="s">
        <v>413</v>
      </c>
      <c r="AL53" s="38"/>
      <c r="AM53" s="38" t="s">
        <v>413</v>
      </c>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row>
    <row r="54" spans="1:74" ht="14.1" customHeight="1">
      <c r="A54" s="148"/>
      <c r="B54" s="140" t="s">
        <v>1535</v>
      </c>
      <c r="C54" s="193" t="s">
        <v>415</v>
      </c>
      <c r="D54" s="193" t="s">
        <v>1873</v>
      </c>
      <c r="E54" s="193" t="s">
        <v>1859</v>
      </c>
      <c r="F54" s="140" t="s">
        <v>2791</v>
      </c>
      <c r="G54" s="140" t="s">
        <v>1095</v>
      </c>
      <c r="H54" s="182" t="s">
        <v>2382</v>
      </c>
      <c r="I54" s="193" t="s">
        <v>2704</v>
      </c>
      <c r="J54" s="146" t="s">
        <v>239</v>
      </c>
      <c r="K54" s="140" t="s">
        <v>997</v>
      </c>
      <c r="L54" s="193" t="s">
        <v>239</v>
      </c>
      <c r="M54" s="140" t="s">
        <v>774</v>
      </c>
      <c r="N54" s="193" t="s">
        <v>406</v>
      </c>
      <c r="O54" s="140" t="s">
        <v>64</v>
      </c>
      <c r="P54" s="140"/>
      <c r="Q54" s="140" t="s">
        <v>670</v>
      </c>
      <c r="R54" s="140" t="s">
        <v>670</v>
      </c>
      <c r="S54" s="193" t="s">
        <v>11</v>
      </c>
      <c r="T54" s="165">
        <v>89</v>
      </c>
      <c r="U54" s="166">
        <v>90</v>
      </c>
      <c r="V54" s="193" t="s">
        <v>10</v>
      </c>
      <c r="W54" s="140" t="s">
        <v>1548</v>
      </c>
      <c r="X54" s="193" t="s">
        <v>2061</v>
      </c>
      <c r="Y54" s="193" t="s">
        <v>1930</v>
      </c>
      <c r="Z54" s="193" t="s">
        <v>1950</v>
      </c>
      <c r="AA54" s="143" t="s">
        <v>844</v>
      </c>
      <c r="AB54" s="143" t="s">
        <v>1126</v>
      </c>
      <c r="AC54" s="154" t="s">
        <v>2436</v>
      </c>
      <c r="AD54" s="42" t="s">
        <v>2668</v>
      </c>
      <c r="AE54" s="151" t="s">
        <v>2586</v>
      </c>
      <c r="AF54" s="143" t="s">
        <v>958</v>
      </c>
      <c r="AG54" s="146" t="s">
        <v>2958</v>
      </c>
      <c r="AH54" s="151" t="s">
        <v>873</v>
      </c>
      <c r="AI54" s="146" t="s">
        <v>482</v>
      </c>
      <c r="AJ54" s="151" t="s">
        <v>156</v>
      </c>
      <c r="AK54" s="151"/>
      <c r="AL54" s="57"/>
      <c r="AM54" s="57" t="s">
        <v>645</v>
      </c>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row>
    <row r="55" spans="1:74" ht="14.1" customHeight="1">
      <c r="A55" s="148"/>
      <c r="B55" s="140" t="s">
        <v>1534</v>
      </c>
      <c r="C55" s="193" t="s">
        <v>416</v>
      </c>
      <c r="D55" s="193" t="s">
        <v>1874</v>
      </c>
      <c r="E55" s="193" t="s">
        <v>1868</v>
      </c>
      <c r="F55" s="140" t="s">
        <v>2792</v>
      </c>
      <c r="G55" s="140" t="s">
        <v>1092</v>
      </c>
      <c r="H55" s="182" t="s">
        <v>2383</v>
      </c>
      <c r="I55" s="193" t="s">
        <v>2705</v>
      </c>
      <c r="J55" s="146" t="s">
        <v>239</v>
      </c>
      <c r="K55" s="140" t="s">
        <v>1002</v>
      </c>
      <c r="L55" s="193" t="s">
        <v>239</v>
      </c>
      <c r="M55" s="140" t="s">
        <v>841</v>
      </c>
      <c r="N55" s="193" t="s">
        <v>409</v>
      </c>
      <c r="O55" s="140" t="s">
        <v>140</v>
      </c>
      <c r="P55" s="140"/>
      <c r="Q55" s="140" t="s">
        <v>1829</v>
      </c>
      <c r="R55" s="140" t="s">
        <v>1829</v>
      </c>
      <c r="S55" s="193" t="s">
        <v>10</v>
      </c>
      <c r="T55" s="165">
        <v>91</v>
      </c>
      <c r="U55" s="166">
        <v>92</v>
      </c>
      <c r="V55" s="193" t="s">
        <v>11</v>
      </c>
      <c r="W55" s="140" t="s">
        <v>1547</v>
      </c>
      <c r="X55" s="193" t="s">
        <v>483</v>
      </c>
      <c r="Y55" s="193" t="s">
        <v>1931</v>
      </c>
      <c r="Z55" s="193" t="s">
        <v>2167</v>
      </c>
      <c r="AA55" s="143" t="s">
        <v>846</v>
      </c>
      <c r="AB55" s="143" t="s">
        <v>1127</v>
      </c>
      <c r="AC55" s="154" t="s">
        <v>2437</v>
      </c>
      <c r="AD55" s="42" t="s">
        <v>2669</v>
      </c>
      <c r="AE55" s="151" t="s">
        <v>2378</v>
      </c>
      <c r="AF55" s="143" t="s">
        <v>959</v>
      </c>
      <c r="AG55" s="146" t="s">
        <v>2959</v>
      </c>
      <c r="AH55" s="151" t="s">
        <v>875</v>
      </c>
      <c r="AI55" s="146" t="s">
        <v>484</v>
      </c>
      <c r="AJ55" s="151" t="s">
        <v>157</v>
      </c>
      <c r="AK55" s="151"/>
      <c r="AL55" s="57"/>
      <c r="AM55" s="57" t="s">
        <v>648</v>
      </c>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row>
    <row r="56" spans="1:74" ht="14.1" customHeight="1">
      <c r="A56" s="148"/>
      <c r="B56" s="140" t="s">
        <v>1533</v>
      </c>
      <c r="C56" s="193" t="s">
        <v>417</v>
      </c>
      <c r="D56" s="193" t="s">
        <v>1875</v>
      </c>
      <c r="E56" s="193" t="s">
        <v>1869</v>
      </c>
      <c r="F56" s="140" t="s">
        <v>2793</v>
      </c>
      <c r="G56" s="140" t="s">
        <v>1093</v>
      </c>
      <c r="H56" s="182" t="s">
        <v>2384</v>
      </c>
      <c r="I56" s="193" t="s">
        <v>2706</v>
      </c>
      <c r="J56" s="146" t="s">
        <v>239</v>
      </c>
      <c r="K56" s="140" t="s">
        <v>1003</v>
      </c>
      <c r="L56" s="193" t="s">
        <v>239</v>
      </c>
      <c r="M56" s="140" t="s">
        <v>843</v>
      </c>
      <c r="N56" s="193" t="s">
        <v>412</v>
      </c>
      <c r="O56" s="140" t="s">
        <v>141</v>
      </c>
      <c r="P56" s="140"/>
      <c r="Q56" s="140" t="s">
        <v>1828</v>
      </c>
      <c r="R56" s="140" t="s">
        <v>1828</v>
      </c>
      <c r="S56" s="193" t="s">
        <v>11</v>
      </c>
      <c r="T56" s="165">
        <v>93</v>
      </c>
      <c r="U56" s="166">
        <v>94</v>
      </c>
      <c r="V56" s="193" t="s">
        <v>10</v>
      </c>
      <c r="W56" s="140" t="s">
        <v>1540</v>
      </c>
      <c r="X56" s="193" t="s">
        <v>485</v>
      </c>
      <c r="Y56" s="193" t="s">
        <v>1932</v>
      </c>
      <c r="Z56" s="193" t="s">
        <v>2175</v>
      </c>
      <c r="AA56" s="143" t="s">
        <v>847</v>
      </c>
      <c r="AB56" s="143" t="s">
        <v>1118</v>
      </c>
      <c r="AC56" s="154" t="s">
        <v>2438</v>
      </c>
      <c r="AD56" s="42" t="s">
        <v>2670</v>
      </c>
      <c r="AE56" s="151" t="s">
        <v>2488</v>
      </c>
      <c r="AF56" s="143" t="s">
        <v>964</v>
      </c>
      <c r="AG56" s="146" t="s">
        <v>2960</v>
      </c>
      <c r="AH56" s="151" t="s">
        <v>1031</v>
      </c>
      <c r="AI56" s="146" t="s">
        <v>486</v>
      </c>
      <c r="AJ56" s="151" t="s">
        <v>117</v>
      </c>
      <c r="AK56" s="151"/>
      <c r="AL56" s="57"/>
      <c r="AM56" s="57" t="s">
        <v>1825</v>
      </c>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row>
    <row r="57" spans="1:74" ht="14.1" customHeight="1">
      <c r="A57" s="148"/>
      <c r="B57" s="194" t="s">
        <v>1605</v>
      </c>
      <c r="C57" s="194" t="s">
        <v>779</v>
      </c>
      <c r="D57" s="194" t="s">
        <v>764</v>
      </c>
      <c r="E57" s="194" t="s">
        <v>764</v>
      </c>
      <c r="F57" s="194" t="s">
        <v>1006</v>
      </c>
      <c r="G57" s="194" t="s">
        <v>1139</v>
      </c>
      <c r="H57" s="176" t="s">
        <v>2182</v>
      </c>
      <c r="I57" s="194" t="s">
        <v>2182</v>
      </c>
      <c r="J57" s="194" t="s">
        <v>2182</v>
      </c>
      <c r="K57" s="194" t="s">
        <v>934</v>
      </c>
      <c r="L57" s="194" t="s">
        <v>2182</v>
      </c>
      <c r="M57" s="194" t="s">
        <v>765</v>
      </c>
      <c r="N57" s="194" t="s">
        <v>413</v>
      </c>
      <c r="O57" s="194" t="s">
        <v>413</v>
      </c>
      <c r="P57" s="194" t="s">
        <v>413</v>
      </c>
      <c r="Q57" s="194" t="s">
        <v>413</v>
      </c>
      <c r="R57" s="194" t="s">
        <v>413</v>
      </c>
      <c r="S57" s="194" t="s">
        <v>9</v>
      </c>
      <c r="T57" s="165">
        <v>95</v>
      </c>
      <c r="U57" s="166">
        <v>96</v>
      </c>
      <c r="V57" s="193" t="s">
        <v>11</v>
      </c>
      <c r="W57" s="140" t="s">
        <v>1539</v>
      </c>
      <c r="X57" s="193" t="s">
        <v>487</v>
      </c>
      <c r="Y57" s="193" t="s">
        <v>1933</v>
      </c>
      <c r="Z57" s="193" t="s">
        <v>2174</v>
      </c>
      <c r="AA57" s="143" t="s">
        <v>849</v>
      </c>
      <c r="AB57" s="143" t="s">
        <v>1119</v>
      </c>
      <c r="AC57" s="154" t="s">
        <v>2439</v>
      </c>
      <c r="AD57" s="42" t="s">
        <v>2671</v>
      </c>
      <c r="AE57" s="151" t="s">
        <v>2489</v>
      </c>
      <c r="AF57" s="143" t="s">
        <v>965</v>
      </c>
      <c r="AG57" s="146" t="s">
        <v>2961</v>
      </c>
      <c r="AH57" s="151" t="s">
        <v>1032</v>
      </c>
      <c r="AI57" s="146" t="s">
        <v>488</v>
      </c>
      <c r="AJ57" s="151" t="s">
        <v>118</v>
      </c>
      <c r="AK57" s="151"/>
      <c r="AL57" s="57"/>
      <c r="AM57" s="57" t="s">
        <v>1826</v>
      </c>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row>
    <row r="58" spans="1:74" ht="14.1" customHeight="1">
      <c r="A58" s="148"/>
      <c r="B58" s="140" t="s">
        <v>1538</v>
      </c>
      <c r="C58" s="193" t="s">
        <v>418</v>
      </c>
      <c r="D58" s="193" t="s">
        <v>1876</v>
      </c>
      <c r="E58" s="193" t="s">
        <v>1874</v>
      </c>
      <c r="F58" s="140" t="s">
        <v>2794</v>
      </c>
      <c r="G58" s="140" t="s">
        <v>1090</v>
      </c>
      <c r="H58" s="182" t="s">
        <v>2385</v>
      </c>
      <c r="I58" s="193" t="s">
        <v>2707</v>
      </c>
      <c r="J58" s="146" t="s">
        <v>239</v>
      </c>
      <c r="K58" s="140" t="s">
        <v>998</v>
      </c>
      <c r="L58" s="193" t="s">
        <v>239</v>
      </c>
      <c r="M58" s="140" t="s">
        <v>777</v>
      </c>
      <c r="N58" s="193" t="s">
        <v>419</v>
      </c>
      <c r="O58" s="140" t="s">
        <v>138</v>
      </c>
      <c r="P58" s="140"/>
      <c r="Q58" s="140" t="s">
        <v>1822</v>
      </c>
      <c r="R58" s="140" t="s">
        <v>1822</v>
      </c>
      <c r="S58" s="193" t="s">
        <v>10</v>
      </c>
      <c r="T58" s="165">
        <v>97</v>
      </c>
      <c r="U58" s="166">
        <v>98</v>
      </c>
      <c r="V58" s="189" t="s">
        <v>2</v>
      </c>
      <c r="W58" s="189" t="s">
        <v>2</v>
      </c>
      <c r="X58" s="189" t="s">
        <v>2</v>
      </c>
      <c r="Y58" s="189" t="s">
        <v>2</v>
      </c>
      <c r="Z58" s="189" t="s">
        <v>2</v>
      </c>
      <c r="AA58" s="137" t="s">
        <v>2</v>
      </c>
      <c r="AB58" s="137" t="s">
        <v>2</v>
      </c>
      <c r="AC58" s="155" t="s">
        <v>2</v>
      </c>
      <c r="AD58" s="138" t="s">
        <v>2</v>
      </c>
      <c r="AE58" s="138" t="s">
        <v>2</v>
      </c>
      <c r="AF58" s="137" t="s">
        <v>2</v>
      </c>
      <c r="AG58" s="138" t="s">
        <v>2</v>
      </c>
      <c r="AH58" s="138" t="s">
        <v>2</v>
      </c>
      <c r="AI58" s="138" t="s">
        <v>2</v>
      </c>
      <c r="AJ58" s="138" t="s">
        <v>2</v>
      </c>
      <c r="AK58" s="138" t="s">
        <v>2</v>
      </c>
      <c r="AL58" s="37"/>
      <c r="AM58" s="37" t="s">
        <v>2</v>
      </c>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row>
    <row r="59" spans="1:74" ht="14.1" customHeight="1">
      <c r="A59" s="148"/>
      <c r="B59" s="140" t="s">
        <v>1537</v>
      </c>
      <c r="C59" s="193" t="s">
        <v>420</v>
      </c>
      <c r="D59" s="193" t="s">
        <v>1877</v>
      </c>
      <c r="E59" s="193" t="s">
        <v>1875</v>
      </c>
      <c r="F59" s="140" t="s">
        <v>2795</v>
      </c>
      <c r="G59" s="140" t="s">
        <v>1091</v>
      </c>
      <c r="H59" s="182" t="s">
        <v>2386</v>
      </c>
      <c r="I59" s="193" t="s">
        <v>2708</v>
      </c>
      <c r="J59" s="146" t="s">
        <v>239</v>
      </c>
      <c r="K59" s="140" t="s">
        <v>999</v>
      </c>
      <c r="L59" s="193" t="s">
        <v>239</v>
      </c>
      <c r="M59" s="140" t="s">
        <v>778</v>
      </c>
      <c r="N59" s="193" t="s">
        <v>421</v>
      </c>
      <c r="O59" s="140" t="s">
        <v>139</v>
      </c>
      <c r="P59" s="140"/>
      <c r="Q59" s="140" t="s">
        <v>1827</v>
      </c>
      <c r="R59" s="140" t="s">
        <v>1827</v>
      </c>
      <c r="S59" s="193" t="s">
        <v>11</v>
      </c>
      <c r="T59" s="165">
        <v>99</v>
      </c>
      <c r="U59" s="166">
        <v>100</v>
      </c>
      <c r="V59" s="193" t="s">
        <v>10</v>
      </c>
      <c r="W59" s="140" t="s">
        <v>1542</v>
      </c>
      <c r="X59" s="193" t="s">
        <v>489</v>
      </c>
      <c r="Y59" s="193" t="s">
        <v>1934</v>
      </c>
      <c r="Z59" s="193" t="s">
        <v>2243</v>
      </c>
      <c r="AA59" s="143" t="s">
        <v>851</v>
      </c>
      <c r="AB59" s="143" t="s">
        <v>1110</v>
      </c>
      <c r="AC59" s="154" t="s">
        <v>2440</v>
      </c>
      <c r="AD59" s="42" t="s">
        <v>2682</v>
      </c>
      <c r="AE59" s="151" t="s">
        <v>2486</v>
      </c>
      <c r="AF59" s="143" t="s">
        <v>960</v>
      </c>
      <c r="AG59" s="146" t="s">
        <v>2962</v>
      </c>
      <c r="AH59" s="151" t="s">
        <v>1023</v>
      </c>
      <c r="AI59" s="146" t="s">
        <v>490</v>
      </c>
      <c r="AJ59" s="151" t="s">
        <v>154</v>
      </c>
      <c r="AK59" s="151"/>
      <c r="AL59" s="57"/>
      <c r="AM59" s="57" t="s">
        <v>1824</v>
      </c>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row>
    <row r="60" spans="1:74" ht="14.1" customHeight="1">
      <c r="A60" s="148"/>
      <c r="B60" s="140" t="s">
        <v>1586</v>
      </c>
      <c r="C60" s="193" t="s">
        <v>422</v>
      </c>
      <c r="D60" s="193" t="s">
        <v>1878</v>
      </c>
      <c r="E60" s="193" t="s">
        <v>1928</v>
      </c>
      <c r="F60" s="140" t="s">
        <v>2796</v>
      </c>
      <c r="G60" s="140" t="s">
        <v>1088</v>
      </c>
      <c r="H60" s="182" t="s">
        <v>2387</v>
      </c>
      <c r="I60" s="193" t="s">
        <v>2723</v>
      </c>
      <c r="J60" s="146" t="s">
        <v>239</v>
      </c>
      <c r="K60" s="193" t="s">
        <v>948</v>
      </c>
      <c r="L60" s="193" t="s">
        <v>239</v>
      </c>
      <c r="M60" s="140" t="s">
        <v>821</v>
      </c>
      <c r="N60" s="193" t="s">
        <v>423</v>
      </c>
      <c r="O60" s="140" t="s">
        <v>136</v>
      </c>
      <c r="P60" s="140"/>
      <c r="Q60" s="140" t="s">
        <v>1820</v>
      </c>
      <c r="R60" s="140" t="s">
        <v>1820</v>
      </c>
      <c r="S60" s="193" t="s">
        <v>10</v>
      </c>
      <c r="T60" s="165">
        <v>101</v>
      </c>
      <c r="U60" s="166">
        <v>102</v>
      </c>
      <c r="V60" s="193" t="s">
        <v>11</v>
      </c>
      <c r="W60" s="140" t="s">
        <v>1541</v>
      </c>
      <c r="X60" s="193" t="s">
        <v>491</v>
      </c>
      <c r="Y60" s="193" t="s">
        <v>1935</v>
      </c>
      <c r="Z60" s="193" t="s">
        <v>2244</v>
      </c>
      <c r="AA60" s="143" t="s">
        <v>852</v>
      </c>
      <c r="AB60" s="143" t="s">
        <v>1111</v>
      </c>
      <c r="AC60" s="154" t="s">
        <v>2441</v>
      </c>
      <c r="AD60" s="42" t="s">
        <v>2683</v>
      </c>
      <c r="AE60" s="151" t="s">
        <v>2487</v>
      </c>
      <c r="AF60" s="143" t="s">
        <v>961</v>
      </c>
      <c r="AG60" s="146" t="s">
        <v>2963</v>
      </c>
      <c r="AH60" s="151" t="s">
        <v>1024</v>
      </c>
      <c r="AI60" s="146" t="s">
        <v>492</v>
      </c>
      <c r="AJ60" s="151" t="s">
        <v>155</v>
      </c>
      <c r="AK60" s="151"/>
      <c r="AL60" s="57"/>
      <c r="AM60" s="57" t="s">
        <v>1823</v>
      </c>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row>
    <row r="61" spans="1:74" ht="14.1" customHeight="1">
      <c r="A61" s="148"/>
      <c r="B61" s="140" t="s">
        <v>1585</v>
      </c>
      <c r="C61" s="193" t="s">
        <v>424</v>
      </c>
      <c r="D61" s="193" t="s">
        <v>1879</v>
      </c>
      <c r="E61" s="193" t="s">
        <v>1929</v>
      </c>
      <c r="F61" s="140" t="s">
        <v>2797</v>
      </c>
      <c r="G61" s="140" t="s">
        <v>1089</v>
      </c>
      <c r="H61" s="182" t="s">
        <v>2388</v>
      </c>
      <c r="I61" s="193" t="s">
        <v>2724</v>
      </c>
      <c r="J61" s="146" t="s">
        <v>239</v>
      </c>
      <c r="K61" s="193" t="s">
        <v>949</v>
      </c>
      <c r="L61" s="193" t="s">
        <v>239</v>
      </c>
      <c r="M61" s="140" t="s">
        <v>824</v>
      </c>
      <c r="N61" s="193" t="s">
        <v>425</v>
      </c>
      <c r="O61" s="140" t="s">
        <v>137</v>
      </c>
      <c r="P61" s="140"/>
      <c r="Q61" s="140" t="s">
        <v>1821</v>
      </c>
      <c r="R61" s="140" t="s">
        <v>1821</v>
      </c>
      <c r="S61" s="193" t="s">
        <v>11</v>
      </c>
      <c r="T61" s="165">
        <v>103</v>
      </c>
      <c r="U61" s="166">
        <v>104</v>
      </c>
      <c r="V61" s="193" t="s">
        <v>10</v>
      </c>
      <c r="W61" s="140" t="s">
        <v>1604</v>
      </c>
      <c r="X61" s="193" t="s">
        <v>493</v>
      </c>
      <c r="Y61" s="193" t="s">
        <v>1936</v>
      </c>
      <c r="Z61" s="193" t="s">
        <v>2245</v>
      </c>
      <c r="AA61" s="143" t="s">
        <v>853</v>
      </c>
      <c r="AB61" s="143" t="s">
        <v>1114</v>
      </c>
      <c r="AC61" s="154" t="s">
        <v>2442</v>
      </c>
      <c r="AD61" s="42" t="s">
        <v>2672</v>
      </c>
      <c r="AE61" s="151" t="s">
        <v>2496</v>
      </c>
      <c r="AF61" s="143" t="s">
        <v>976</v>
      </c>
      <c r="AG61" s="146" t="s">
        <v>2964</v>
      </c>
      <c r="AH61" s="151" t="s">
        <v>1027</v>
      </c>
      <c r="AI61" s="146" t="s">
        <v>494</v>
      </c>
      <c r="AJ61" s="151" t="s">
        <v>115</v>
      </c>
      <c r="AK61" s="151"/>
      <c r="AL61" s="57"/>
      <c r="AM61" s="57" t="s">
        <v>1770</v>
      </c>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row>
    <row r="62" spans="1:74" ht="14.1" customHeight="1">
      <c r="A62" s="148"/>
      <c r="B62" s="189" t="s">
        <v>2</v>
      </c>
      <c r="C62" s="189" t="s">
        <v>2</v>
      </c>
      <c r="D62" s="189" t="s">
        <v>2</v>
      </c>
      <c r="E62" s="189" t="s">
        <v>2</v>
      </c>
      <c r="F62" s="189" t="s">
        <v>2</v>
      </c>
      <c r="G62" s="189" t="s">
        <v>2</v>
      </c>
      <c r="H62" s="180" t="s">
        <v>2</v>
      </c>
      <c r="I62" s="189" t="s">
        <v>2</v>
      </c>
      <c r="J62" s="189" t="s">
        <v>2</v>
      </c>
      <c r="K62" s="189" t="s">
        <v>2</v>
      </c>
      <c r="L62" s="189" t="s">
        <v>2</v>
      </c>
      <c r="M62" s="189" t="s">
        <v>2</v>
      </c>
      <c r="N62" s="189" t="s">
        <v>2</v>
      </c>
      <c r="O62" s="189" t="s">
        <v>2</v>
      </c>
      <c r="P62" s="189" t="s">
        <v>2</v>
      </c>
      <c r="Q62" s="189" t="s">
        <v>2</v>
      </c>
      <c r="R62" s="189" t="s">
        <v>2</v>
      </c>
      <c r="S62" s="189" t="s">
        <v>2</v>
      </c>
      <c r="T62" s="165">
        <v>105</v>
      </c>
      <c r="U62" s="166">
        <v>106</v>
      </c>
      <c r="V62" s="193" t="s">
        <v>11</v>
      </c>
      <c r="W62" s="140" t="s">
        <v>1603</v>
      </c>
      <c r="X62" s="193" t="s">
        <v>495</v>
      </c>
      <c r="Y62" s="193" t="s">
        <v>1937</v>
      </c>
      <c r="Z62" s="193" t="s">
        <v>2246</v>
      </c>
      <c r="AA62" s="143" t="s">
        <v>854</v>
      </c>
      <c r="AB62" s="143" t="s">
        <v>1115</v>
      </c>
      <c r="AC62" s="154" t="s">
        <v>2443</v>
      </c>
      <c r="AD62" s="42" t="s">
        <v>2673</v>
      </c>
      <c r="AE62" s="151" t="s">
        <v>2497</v>
      </c>
      <c r="AF62" s="143" t="s">
        <v>977</v>
      </c>
      <c r="AG62" s="146" t="s">
        <v>2965</v>
      </c>
      <c r="AH62" s="151" t="s">
        <v>1028</v>
      </c>
      <c r="AI62" s="146" t="s">
        <v>496</v>
      </c>
      <c r="AJ62" s="151" t="s">
        <v>116</v>
      </c>
      <c r="AK62" s="151"/>
      <c r="AL62" s="57"/>
      <c r="AM62" s="57" t="s">
        <v>1771</v>
      </c>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row>
    <row r="63" spans="1:74" ht="14.1" customHeight="1">
      <c r="A63" s="148"/>
      <c r="B63" s="140" t="s">
        <v>1590</v>
      </c>
      <c r="C63" s="193" t="s">
        <v>426</v>
      </c>
      <c r="D63" s="193" t="s">
        <v>1880</v>
      </c>
      <c r="E63" s="193" t="s">
        <v>1916</v>
      </c>
      <c r="F63" s="140" t="s">
        <v>2798</v>
      </c>
      <c r="G63" s="140" t="s">
        <v>1086</v>
      </c>
      <c r="H63" s="182" t="s">
        <v>2584</v>
      </c>
      <c r="I63" s="193" t="s">
        <v>2725</v>
      </c>
      <c r="J63" s="146" t="s">
        <v>239</v>
      </c>
      <c r="K63" s="193" t="s">
        <v>946</v>
      </c>
      <c r="L63" s="193" t="s">
        <v>239</v>
      </c>
      <c r="M63" s="140" t="s">
        <v>833</v>
      </c>
      <c r="N63" s="193" t="s">
        <v>427</v>
      </c>
      <c r="O63" s="140" t="s">
        <v>97</v>
      </c>
      <c r="P63" s="140"/>
      <c r="Q63" s="140" t="s">
        <v>1818</v>
      </c>
      <c r="R63" s="140" t="s">
        <v>1818</v>
      </c>
      <c r="S63" s="193" t="s">
        <v>10</v>
      </c>
      <c r="T63" s="165">
        <v>107</v>
      </c>
      <c r="U63" s="166">
        <v>108</v>
      </c>
      <c r="V63" s="194" t="s">
        <v>6</v>
      </c>
      <c r="W63" s="194" t="s">
        <v>4</v>
      </c>
      <c r="X63" s="194" t="s">
        <v>236</v>
      </c>
      <c r="Y63" s="194" t="s">
        <v>4</v>
      </c>
      <c r="Z63" s="194" t="s">
        <v>4</v>
      </c>
      <c r="AA63" s="149" t="s">
        <v>4</v>
      </c>
      <c r="AB63" s="149" t="s">
        <v>4</v>
      </c>
      <c r="AC63" s="153" t="s">
        <v>4</v>
      </c>
      <c r="AD63" s="150" t="s">
        <v>4</v>
      </c>
      <c r="AE63" s="150" t="s">
        <v>4</v>
      </c>
      <c r="AF63" s="149" t="s">
        <v>4</v>
      </c>
      <c r="AG63" s="150" t="s">
        <v>4</v>
      </c>
      <c r="AH63" s="150" t="s">
        <v>4</v>
      </c>
      <c r="AI63" s="150" t="s">
        <v>476</v>
      </c>
      <c r="AJ63" s="150" t="s">
        <v>816</v>
      </c>
      <c r="AK63" s="150" t="s">
        <v>816</v>
      </c>
      <c r="AL63" s="38"/>
      <c r="AM63" s="38" t="s">
        <v>816</v>
      </c>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row>
    <row r="64" spans="1:74" ht="14.1" customHeight="1">
      <c r="A64" s="148"/>
      <c r="B64" s="140" t="s">
        <v>1589</v>
      </c>
      <c r="C64" s="193" t="s">
        <v>428</v>
      </c>
      <c r="D64" s="193" t="s">
        <v>1881</v>
      </c>
      <c r="E64" s="193" t="s">
        <v>1917</v>
      </c>
      <c r="F64" s="140" t="s">
        <v>2799</v>
      </c>
      <c r="G64" s="140" t="s">
        <v>1087</v>
      </c>
      <c r="H64" s="182" t="s">
        <v>2389</v>
      </c>
      <c r="I64" s="193" t="s">
        <v>2726</v>
      </c>
      <c r="J64" s="146" t="s">
        <v>239</v>
      </c>
      <c r="K64" s="193" t="s">
        <v>947</v>
      </c>
      <c r="L64" s="193" t="s">
        <v>239</v>
      </c>
      <c r="M64" s="140" t="s">
        <v>835</v>
      </c>
      <c r="N64" s="193" t="s">
        <v>429</v>
      </c>
      <c r="O64" s="140" t="s">
        <v>98</v>
      </c>
      <c r="P64" s="140"/>
      <c r="Q64" s="140" t="s">
        <v>1819</v>
      </c>
      <c r="R64" s="140" t="s">
        <v>1819</v>
      </c>
      <c r="S64" s="193" t="s">
        <v>11</v>
      </c>
      <c r="T64" s="165">
        <v>109</v>
      </c>
      <c r="U64" s="166">
        <v>110</v>
      </c>
      <c r="V64" s="193" t="s">
        <v>10</v>
      </c>
      <c r="W64" s="140" t="s">
        <v>1596</v>
      </c>
      <c r="X64" s="193" t="s">
        <v>497</v>
      </c>
      <c r="Y64" s="193" t="s">
        <v>1938</v>
      </c>
      <c r="Z64" s="193" t="s">
        <v>2168</v>
      </c>
      <c r="AA64" s="143" t="s">
        <v>855</v>
      </c>
      <c r="AB64" s="143" t="s">
        <v>1124</v>
      </c>
      <c r="AC64" s="154" t="s">
        <v>2444</v>
      </c>
      <c r="AD64" s="42" t="s">
        <v>2688</v>
      </c>
      <c r="AE64" s="151" t="s">
        <v>2379</v>
      </c>
      <c r="AF64" s="143" t="s">
        <v>978</v>
      </c>
      <c r="AG64" s="146" t="s">
        <v>2966</v>
      </c>
      <c r="AH64" s="151" t="s">
        <v>1029</v>
      </c>
      <c r="AI64" s="146" t="s">
        <v>498</v>
      </c>
      <c r="AJ64" s="151" t="s">
        <v>113</v>
      </c>
      <c r="AK64" s="151"/>
      <c r="AL64" s="57"/>
      <c r="AM64" s="57" t="s">
        <v>1772</v>
      </c>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row>
    <row r="65" spans="1:74" ht="14.1" customHeight="1">
      <c r="A65" s="148"/>
      <c r="B65" s="140" t="s">
        <v>1594</v>
      </c>
      <c r="C65" s="193" t="s">
        <v>430</v>
      </c>
      <c r="D65" s="193" t="s">
        <v>1882</v>
      </c>
      <c r="E65" s="193" t="s">
        <v>1918</v>
      </c>
      <c r="F65" s="140" t="s">
        <v>2800</v>
      </c>
      <c r="G65" s="140" t="s">
        <v>1084</v>
      </c>
      <c r="H65" s="182" t="s">
        <v>2390</v>
      </c>
      <c r="I65" s="193" t="s">
        <v>2727</v>
      </c>
      <c r="J65" s="146" t="s">
        <v>239</v>
      </c>
      <c r="K65" s="193" t="s">
        <v>950</v>
      </c>
      <c r="L65" s="193" t="s">
        <v>239</v>
      </c>
      <c r="M65" s="140" t="s">
        <v>827</v>
      </c>
      <c r="N65" s="193" t="s">
        <v>431</v>
      </c>
      <c r="O65" s="140" t="s">
        <v>134</v>
      </c>
      <c r="P65" s="140"/>
      <c r="Q65" s="140" t="s">
        <v>1816</v>
      </c>
      <c r="R65" s="140" t="s">
        <v>1816</v>
      </c>
      <c r="S65" s="193" t="s">
        <v>10</v>
      </c>
      <c r="T65" s="165">
        <v>111</v>
      </c>
      <c r="U65" s="166">
        <v>112</v>
      </c>
      <c r="V65" s="193" t="s">
        <v>11</v>
      </c>
      <c r="W65" s="140" t="s">
        <v>1595</v>
      </c>
      <c r="X65" s="193" t="s">
        <v>499</v>
      </c>
      <c r="Y65" s="193" t="s">
        <v>1939</v>
      </c>
      <c r="Z65" s="193" t="s">
        <v>2169</v>
      </c>
      <c r="AA65" s="143" t="s">
        <v>856</v>
      </c>
      <c r="AB65" s="143" t="s">
        <v>1125</v>
      </c>
      <c r="AC65" s="154" t="s">
        <v>2445</v>
      </c>
      <c r="AD65" s="42" t="s">
        <v>2689</v>
      </c>
      <c r="AE65" s="151" t="s">
        <v>2380</v>
      </c>
      <c r="AF65" s="143" t="s">
        <v>979</v>
      </c>
      <c r="AG65" s="146" t="s">
        <v>2967</v>
      </c>
      <c r="AH65" s="151" t="s">
        <v>1030</v>
      </c>
      <c r="AI65" s="146" t="s">
        <v>500</v>
      </c>
      <c r="AJ65" s="151" t="s">
        <v>114</v>
      </c>
      <c r="AK65" s="151"/>
      <c r="AL65" s="57"/>
      <c r="AM65" s="57" t="s">
        <v>1773</v>
      </c>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row>
    <row r="66" spans="1:74" ht="14.1" customHeight="1">
      <c r="A66" s="148"/>
      <c r="B66" s="140" t="s">
        <v>1593</v>
      </c>
      <c r="C66" s="193" t="s">
        <v>432</v>
      </c>
      <c r="D66" s="193" t="s">
        <v>1883</v>
      </c>
      <c r="E66" s="193" t="s">
        <v>1919</v>
      </c>
      <c r="F66" s="140" t="s">
        <v>2801</v>
      </c>
      <c r="G66" s="140" t="s">
        <v>1085</v>
      </c>
      <c r="H66" s="182" t="s">
        <v>2391</v>
      </c>
      <c r="I66" s="193" t="s">
        <v>2728</v>
      </c>
      <c r="J66" s="146" t="s">
        <v>239</v>
      </c>
      <c r="K66" s="193" t="s">
        <v>951</v>
      </c>
      <c r="L66" s="193" t="s">
        <v>239</v>
      </c>
      <c r="M66" s="140" t="s">
        <v>830</v>
      </c>
      <c r="N66" s="193" t="s">
        <v>433</v>
      </c>
      <c r="O66" s="140" t="s">
        <v>135</v>
      </c>
      <c r="P66" s="140"/>
      <c r="Q66" s="140" t="s">
        <v>1817</v>
      </c>
      <c r="R66" s="140" t="s">
        <v>1817</v>
      </c>
      <c r="S66" s="193" t="s">
        <v>11</v>
      </c>
      <c r="T66" s="165">
        <v>113</v>
      </c>
      <c r="U66" s="166">
        <v>114</v>
      </c>
      <c r="V66" s="193" t="s">
        <v>10</v>
      </c>
      <c r="W66" s="140" t="s">
        <v>1602</v>
      </c>
      <c r="X66" s="193" t="s">
        <v>501</v>
      </c>
      <c r="Y66" s="193" t="s">
        <v>1940</v>
      </c>
      <c r="Z66" s="193" t="s">
        <v>1896</v>
      </c>
      <c r="AA66" s="143" t="s">
        <v>857</v>
      </c>
      <c r="AB66" s="143" t="s">
        <v>1116</v>
      </c>
      <c r="AC66" s="154" t="s">
        <v>2446</v>
      </c>
      <c r="AD66" s="42" t="s">
        <v>2690</v>
      </c>
      <c r="AE66" s="151" t="s">
        <v>2381</v>
      </c>
      <c r="AF66" s="143" t="s">
        <v>980</v>
      </c>
      <c r="AG66" s="146" t="s">
        <v>2968</v>
      </c>
      <c r="AH66" s="151" t="s">
        <v>1047</v>
      </c>
      <c r="AI66" s="146" t="s">
        <v>502</v>
      </c>
      <c r="AJ66" s="151" t="s">
        <v>150</v>
      </c>
      <c r="AK66" s="151"/>
      <c r="AL66" s="57"/>
      <c r="AM66" s="57" t="s">
        <v>1774</v>
      </c>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row>
    <row r="67" spans="1:74" ht="14.1" customHeight="1">
      <c r="A67" s="148"/>
      <c r="B67" s="194" t="s">
        <v>3</v>
      </c>
      <c r="C67" s="194" t="s">
        <v>3</v>
      </c>
      <c r="D67" s="194" t="s">
        <v>3</v>
      </c>
      <c r="E67" s="194" t="s">
        <v>3</v>
      </c>
      <c r="F67" s="194" t="s">
        <v>3</v>
      </c>
      <c r="G67" s="194" t="s">
        <v>3</v>
      </c>
      <c r="H67" s="176" t="s">
        <v>3</v>
      </c>
      <c r="I67" s="194" t="s">
        <v>3</v>
      </c>
      <c r="J67" s="194" t="s">
        <v>3</v>
      </c>
      <c r="K67" s="194" t="s">
        <v>3</v>
      </c>
      <c r="L67" s="194" t="s">
        <v>3</v>
      </c>
      <c r="M67" s="194" t="s">
        <v>3</v>
      </c>
      <c r="N67" s="194" t="s">
        <v>3</v>
      </c>
      <c r="O67" s="194" t="s">
        <v>541</v>
      </c>
      <c r="P67" s="194" t="s">
        <v>541</v>
      </c>
      <c r="Q67" s="194" t="s">
        <v>541</v>
      </c>
      <c r="R67" s="194" t="s">
        <v>541</v>
      </c>
      <c r="S67" s="194" t="s">
        <v>261</v>
      </c>
      <c r="T67" s="165">
        <v>115</v>
      </c>
      <c r="U67" s="166">
        <v>116</v>
      </c>
      <c r="V67" s="193" t="s">
        <v>11</v>
      </c>
      <c r="W67" s="140" t="s">
        <v>1601</v>
      </c>
      <c r="X67" s="193" t="s">
        <v>503</v>
      </c>
      <c r="Y67" s="193" t="s">
        <v>1941</v>
      </c>
      <c r="Z67" s="193" t="s">
        <v>1897</v>
      </c>
      <c r="AA67" s="143" t="s">
        <v>859</v>
      </c>
      <c r="AB67" s="143" t="s">
        <v>1117</v>
      </c>
      <c r="AC67" s="154" t="s">
        <v>2447</v>
      </c>
      <c r="AD67" s="42" t="s">
        <v>2691</v>
      </c>
      <c r="AE67" s="151" t="s">
        <v>2382</v>
      </c>
      <c r="AF67" s="143" t="s">
        <v>981</v>
      </c>
      <c r="AG67" s="146" t="s">
        <v>2969</v>
      </c>
      <c r="AH67" s="151" t="s">
        <v>1048</v>
      </c>
      <c r="AI67" s="146" t="s">
        <v>504</v>
      </c>
      <c r="AJ67" s="151" t="s">
        <v>151</v>
      </c>
      <c r="AK67" s="151"/>
      <c r="AL67" s="57"/>
      <c r="AM67" s="57" t="s">
        <v>1775</v>
      </c>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row>
    <row r="68" spans="1:74" ht="14.1" customHeight="1">
      <c r="A68" s="148"/>
      <c r="B68" s="140" t="s">
        <v>1584</v>
      </c>
      <c r="C68" s="193" t="s">
        <v>239</v>
      </c>
      <c r="D68" s="193" t="s">
        <v>2241</v>
      </c>
      <c r="E68" s="193" t="s">
        <v>1856</v>
      </c>
      <c r="F68" s="140" t="s">
        <v>784</v>
      </c>
      <c r="G68" s="140" t="s">
        <v>1082</v>
      </c>
      <c r="H68" s="182" t="s">
        <v>2392</v>
      </c>
      <c r="I68" s="193" t="s">
        <v>2731</v>
      </c>
      <c r="J68" s="146" t="s">
        <v>239</v>
      </c>
      <c r="K68" s="140" t="s">
        <v>994</v>
      </c>
      <c r="L68" s="193" t="s">
        <v>239</v>
      </c>
      <c r="M68" s="140" t="s">
        <v>758</v>
      </c>
      <c r="N68" s="193" t="s">
        <v>434</v>
      </c>
      <c r="O68" s="140" t="s">
        <v>95</v>
      </c>
      <c r="P68" s="140"/>
      <c r="Q68" s="140" t="s">
        <v>1814</v>
      </c>
      <c r="R68" s="140" t="s">
        <v>1814</v>
      </c>
      <c r="S68" s="193" t="s">
        <v>10</v>
      </c>
      <c r="T68" s="165">
        <v>117</v>
      </c>
      <c r="U68" s="166">
        <v>118</v>
      </c>
      <c r="V68" s="189" t="s">
        <v>2</v>
      </c>
      <c r="W68" s="189" t="s">
        <v>2</v>
      </c>
      <c r="X68" s="189" t="s">
        <v>2</v>
      </c>
      <c r="Y68" s="189" t="s">
        <v>2</v>
      </c>
      <c r="Z68" s="189" t="s">
        <v>2</v>
      </c>
      <c r="AA68" s="137" t="s">
        <v>2</v>
      </c>
      <c r="AB68" s="137" t="s">
        <v>2</v>
      </c>
      <c r="AC68" s="155" t="s">
        <v>2</v>
      </c>
      <c r="AD68" s="138" t="s">
        <v>2</v>
      </c>
      <c r="AE68" s="138" t="s">
        <v>2</v>
      </c>
      <c r="AF68" s="137" t="s">
        <v>2</v>
      </c>
      <c r="AG68" s="138" t="s">
        <v>2</v>
      </c>
      <c r="AH68" s="138" t="s">
        <v>2</v>
      </c>
      <c r="AI68" s="138" t="s">
        <v>2</v>
      </c>
      <c r="AJ68" s="138" t="s">
        <v>2</v>
      </c>
      <c r="AK68" s="138" t="s">
        <v>2</v>
      </c>
      <c r="AL68" s="37"/>
      <c r="AM68" s="37" t="s">
        <v>2</v>
      </c>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row>
    <row r="69" spans="1:74" ht="14.1" customHeight="1">
      <c r="A69" s="148"/>
      <c r="B69" s="140" t="s">
        <v>1583</v>
      </c>
      <c r="C69" s="193" t="s">
        <v>435</v>
      </c>
      <c r="D69" s="193" t="s">
        <v>2242</v>
      </c>
      <c r="E69" s="193" t="s">
        <v>1857</v>
      </c>
      <c r="F69" s="140" t="s">
        <v>785</v>
      </c>
      <c r="G69" s="140" t="s">
        <v>1083</v>
      </c>
      <c r="H69" s="182" t="s">
        <v>2393</v>
      </c>
      <c r="I69" s="193" t="s">
        <v>2732</v>
      </c>
      <c r="J69" s="146" t="s">
        <v>239</v>
      </c>
      <c r="K69" s="140" t="s">
        <v>995</v>
      </c>
      <c r="L69" s="193" t="s">
        <v>239</v>
      </c>
      <c r="M69" s="140" t="s">
        <v>761</v>
      </c>
      <c r="N69" s="193" t="s">
        <v>89</v>
      </c>
      <c r="O69" s="140" t="s">
        <v>96</v>
      </c>
      <c r="P69" s="140"/>
      <c r="Q69" s="140" t="s">
        <v>1815</v>
      </c>
      <c r="R69" s="140" t="s">
        <v>1815</v>
      </c>
      <c r="S69" s="193" t="s">
        <v>11</v>
      </c>
      <c r="T69" s="165">
        <v>119</v>
      </c>
      <c r="U69" s="166">
        <v>120</v>
      </c>
      <c r="V69" s="193" t="s">
        <v>10</v>
      </c>
      <c r="W69" s="140" t="s">
        <v>1600</v>
      </c>
      <c r="X69" s="193" t="s">
        <v>505</v>
      </c>
      <c r="Y69" s="193" t="s">
        <v>1942</v>
      </c>
      <c r="Z69" s="193" t="s">
        <v>2173</v>
      </c>
      <c r="AA69" s="143" t="s">
        <v>861</v>
      </c>
      <c r="AB69" s="143" t="s">
        <v>1128</v>
      </c>
      <c r="AC69" s="154" t="s">
        <v>2448</v>
      </c>
      <c r="AD69" s="42" t="s">
        <v>2692</v>
      </c>
      <c r="AE69" s="151" t="s">
        <v>2383</v>
      </c>
      <c r="AF69" s="143" t="s">
        <v>974</v>
      </c>
      <c r="AG69" s="146" t="s">
        <v>2970</v>
      </c>
      <c r="AH69" s="151" t="s">
        <v>1045</v>
      </c>
      <c r="AI69" s="146" t="s">
        <v>119</v>
      </c>
      <c r="AJ69" s="151" t="s">
        <v>111</v>
      </c>
      <c r="AK69" s="151"/>
      <c r="AL69" s="57"/>
      <c r="AM69" s="57" t="s">
        <v>1776</v>
      </c>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row>
    <row r="70" spans="1:74" ht="14.1" customHeight="1">
      <c r="A70" s="148"/>
      <c r="B70" s="189" t="s">
        <v>2</v>
      </c>
      <c r="C70" s="189" t="s">
        <v>2</v>
      </c>
      <c r="D70" s="189" t="s">
        <v>2</v>
      </c>
      <c r="E70" s="189" t="s">
        <v>2</v>
      </c>
      <c r="F70" s="189" t="s">
        <v>2</v>
      </c>
      <c r="G70" s="189" t="s">
        <v>2</v>
      </c>
      <c r="H70" s="180" t="s">
        <v>2</v>
      </c>
      <c r="I70" s="189" t="s">
        <v>2</v>
      </c>
      <c r="J70" s="189" t="s">
        <v>2</v>
      </c>
      <c r="K70" s="189" t="s">
        <v>2</v>
      </c>
      <c r="L70" s="189" t="s">
        <v>2</v>
      </c>
      <c r="M70" s="189" t="s">
        <v>2</v>
      </c>
      <c r="N70" s="189" t="s">
        <v>2</v>
      </c>
      <c r="O70" s="189" t="s">
        <v>2</v>
      </c>
      <c r="P70" s="189" t="s">
        <v>2</v>
      </c>
      <c r="Q70" s="189" t="s">
        <v>2</v>
      </c>
      <c r="R70" s="189" t="s">
        <v>2</v>
      </c>
      <c r="S70" s="189" t="s">
        <v>2</v>
      </c>
      <c r="T70" s="165">
        <v>121</v>
      </c>
      <c r="U70" s="166">
        <v>122</v>
      </c>
      <c r="V70" s="193" t="s">
        <v>11</v>
      </c>
      <c r="W70" s="140" t="s">
        <v>1599</v>
      </c>
      <c r="X70" s="193" t="s">
        <v>506</v>
      </c>
      <c r="Y70" s="193" t="s">
        <v>1943</v>
      </c>
      <c r="Z70" s="193" t="s">
        <v>2172</v>
      </c>
      <c r="AA70" s="143" t="s">
        <v>863</v>
      </c>
      <c r="AB70" s="143" t="s">
        <v>1129</v>
      </c>
      <c r="AC70" s="154" t="s">
        <v>2449</v>
      </c>
      <c r="AD70" s="42" t="s">
        <v>2693</v>
      </c>
      <c r="AE70" s="151" t="s">
        <v>2384</v>
      </c>
      <c r="AF70" s="143" t="s">
        <v>975</v>
      </c>
      <c r="AG70" s="146" t="s">
        <v>2971</v>
      </c>
      <c r="AH70" s="151" t="s">
        <v>1046</v>
      </c>
      <c r="AI70" s="146" t="s">
        <v>507</v>
      </c>
      <c r="AJ70" s="151" t="s">
        <v>112</v>
      </c>
      <c r="AK70" s="151"/>
      <c r="AL70" s="57"/>
      <c r="AM70" s="57" t="s">
        <v>1777</v>
      </c>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row>
    <row r="71" spans="1:74" ht="14.1" customHeight="1">
      <c r="A71" s="148"/>
      <c r="B71" s="140" t="s">
        <v>1598</v>
      </c>
      <c r="C71" s="193" t="s">
        <v>436</v>
      </c>
      <c r="D71" s="144" t="s">
        <v>1884</v>
      </c>
      <c r="E71" s="144" t="s">
        <v>1870</v>
      </c>
      <c r="F71" s="140" t="s">
        <v>786</v>
      </c>
      <c r="G71" s="140" t="s">
        <v>1080</v>
      </c>
      <c r="H71" s="184" t="s">
        <v>2394</v>
      </c>
      <c r="I71" s="144" t="s">
        <v>2711</v>
      </c>
      <c r="J71" s="146" t="s">
        <v>239</v>
      </c>
      <c r="K71" s="144" t="s">
        <v>952</v>
      </c>
      <c r="L71" s="193" t="s">
        <v>239</v>
      </c>
      <c r="M71" s="144" t="s">
        <v>731</v>
      </c>
      <c r="N71" s="144" t="s">
        <v>437</v>
      </c>
      <c r="O71" s="140" t="s">
        <v>88</v>
      </c>
      <c r="P71" s="140"/>
      <c r="Q71" s="140" t="s">
        <v>1810</v>
      </c>
      <c r="R71" s="140" t="s">
        <v>1810</v>
      </c>
      <c r="S71" s="144" t="s">
        <v>32</v>
      </c>
      <c r="T71" s="165">
        <v>123</v>
      </c>
      <c r="U71" s="166">
        <v>124</v>
      </c>
      <c r="V71" s="193" t="s">
        <v>10</v>
      </c>
      <c r="W71" s="140" t="s">
        <v>1592</v>
      </c>
      <c r="X71" s="193" t="s">
        <v>508</v>
      </c>
      <c r="Y71" s="193" t="s">
        <v>1944</v>
      </c>
      <c r="Z71" s="193" t="s">
        <v>1890</v>
      </c>
      <c r="AA71" s="143" t="s">
        <v>864</v>
      </c>
      <c r="AB71" s="143" t="s">
        <v>1112</v>
      </c>
      <c r="AC71" s="154" t="s">
        <v>2450</v>
      </c>
      <c r="AD71" s="42" t="s">
        <v>2698</v>
      </c>
      <c r="AE71" s="151" t="s">
        <v>2387</v>
      </c>
      <c r="AF71" s="143" t="s">
        <v>982</v>
      </c>
      <c r="AG71" s="146" t="s">
        <v>2972</v>
      </c>
      <c r="AH71" s="151" t="s">
        <v>862</v>
      </c>
      <c r="AI71" s="146" t="s">
        <v>211</v>
      </c>
      <c r="AJ71" s="151" t="s">
        <v>148</v>
      </c>
      <c r="AK71" s="151"/>
      <c r="AL71" s="57"/>
      <c r="AM71" s="57" t="s">
        <v>1778</v>
      </c>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row>
    <row r="72" spans="1:74" ht="14.1" customHeight="1">
      <c r="A72" s="148"/>
      <c r="B72" s="140" t="s">
        <v>1597</v>
      </c>
      <c r="C72" s="193" t="s">
        <v>438</v>
      </c>
      <c r="D72" s="144" t="s">
        <v>1885</v>
      </c>
      <c r="E72" s="144" t="s">
        <v>1871</v>
      </c>
      <c r="F72" s="140" t="s">
        <v>787</v>
      </c>
      <c r="G72" s="140" t="s">
        <v>1081</v>
      </c>
      <c r="H72" s="184" t="s">
        <v>2395</v>
      </c>
      <c r="I72" s="144" t="s">
        <v>2712</v>
      </c>
      <c r="J72" s="146" t="s">
        <v>239</v>
      </c>
      <c r="K72" s="144" t="s">
        <v>953</v>
      </c>
      <c r="L72" s="193" t="s">
        <v>239</v>
      </c>
      <c r="M72" s="144" t="s">
        <v>734</v>
      </c>
      <c r="N72" s="144" t="s">
        <v>439</v>
      </c>
      <c r="O72" s="140" t="s">
        <v>90</v>
      </c>
      <c r="P72" s="140"/>
      <c r="Q72" s="140" t="s">
        <v>1811</v>
      </c>
      <c r="R72" s="140" t="s">
        <v>1811</v>
      </c>
      <c r="S72" s="144" t="s">
        <v>33</v>
      </c>
      <c r="T72" s="165">
        <v>125</v>
      </c>
      <c r="U72" s="166">
        <v>126</v>
      </c>
      <c r="V72" s="193" t="s">
        <v>11</v>
      </c>
      <c r="W72" s="140" t="s">
        <v>1591</v>
      </c>
      <c r="X72" s="193" t="s">
        <v>509</v>
      </c>
      <c r="Y72" s="193" t="s">
        <v>1945</v>
      </c>
      <c r="Z72" s="193" t="s">
        <v>1891</v>
      </c>
      <c r="AA72" s="143" t="s">
        <v>865</v>
      </c>
      <c r="AB72" s="143" t="s">
        <v>1113</v>
      </c>
      <c r="AC72" s="154" t="s">
        <v>2451</v>
      </c>
      <c r="AD72" s="42" t="s">
        <v>2839</v>
      </c>
      <c r="AE72" s="151" t="s">
        <v>2388</v>
      </c>
      <c r="AF72" s="143" t="s">
        <v>983</v>
      </c>
      <c r="AG72" s="146" t="s">
        <v>2973</v>
      </c>
      <c r="AH72" s="151" t="s">
        <v>1049</v>
      </c>
      <c r="AI72" s="146" t="s">
        <v>213</v>
      </c>
      <c r="AJ72" s="151" t="s">
        <v>149</v>
      </c>
      <c r="AK72" s="151"/>
      <c r="AL72" s="57"/>
      <c r="AM72" s="57" t="s">
        <v>1779</v>
      </c>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row>
    <row r="73" spans="1:74" ht="14.1" customHeight="1">
      <c r="A73" s="148"/>
      <c r="B73" s="194" t="s">
        <v>3</v>
      </c>
      <c r="C73" s="194" t="s">
        <v>3</v>
      </c>
      <c r="D73" s="194" t="s">
        <v>3</v>
      </c>
      <c r="E73" s="194" t="s">
        <v>3</v>
      </c>
      <c r="F73" s="194" t="s">
        <v>3</v>
      </c>
      <c r="G73" s="194" t="s">
        <v>3</v>
      </c>
      <c r="H73" s="176" t="s">
        <v>3</v>
      </c>
      <c r="I73" s="194" t="s">
        <v>3</v>
      </c>
      <c r="J73" s="194" t="s">
        <v>3</v>
      </c>
      <c r="K73" s="194" t="s">
        <v>3</v>
      </c>
      <c r="L73" s="194" t="s">
        <v>3</v>
      </c>
      <c r="M73" s="194" t="s">
        <v>3</v>
      </c>
      <c r="N73" s="194" t="s">
        <v>3</v>
      </c>
      <c r="O73" s="194" t="s">
        <v>541</v>
      </c>
      <c r="P73" s="194" t="s">
        <v>541</v>
      </c>
      <c r="Q73" s="194" t="s">
        <v>541</v>
      </c>
      <c r="R73" s="194" t="s">
        <v>541</v>
      </c>
      <c r="S73" s="194" t="s">
        <v>261</v>
      </c>
      <c r="T73" s="165">
        <v>127</v>
      </c>
      <c r="U73" s="166">
        <v>128</v>
      </c>
      <c r="V73" s="194" t="s">
        <v>6</v>
      </c>
      <c r="W73" s="194" t="s">
        <v>4</v>
      </c>
      <c r="X73" s="194" t="s">
        <v>236</v>
      </c>
      <c r="Y73" s="194" t="s">
        <v>4</v>
      </c>
      <c r="Z73" s="194" t="s">
        <v>4</v>
      </c>
      <c r="AA73" s="149" t="s">
        <v>4</v>
      </c>
      <c r="AB73" s="149" t="s">
        <v>4</v>
      </c>
      <c r="AC73" s="153" t="s">
        <v>4</v>
      </c>
      <c r="AD73" s="150" t="s">
        <v>4</v>
      </c>
      <c r="AE73" s="150" t="s">
        <v>4</v>
      </c>
      <c r="AF73" s="149" t="s">
        <v>4</v>
      </c>
      <c r="AG73" s="150" t="s">
        <v>4</v>
      </c>
      <c r="AH73" s="150" t="s">
        <v>4</v>
      </c>
      <c r="AI73" s="150" t="s">
        <v>476</v>
      </c>
      <c r="AJ73" s="150" t="s">
        <v>816</v>
      </c>
      <c r="AK73" s="150" t="s">
        <v>816</v>
      </c>
      <c r="AL73" s="38"/>
      <c r="AM73" s="38" t="s">
        <v>816</v>
      </c>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row>
    <row r="74" spans="1:74" ht="14.1" customHeight="1">
      <c r="A74" s="148"/>
      <c r="B74" s="140" t="s">
        <v>1558</v>
      </c>
      <c r="C74" s="193" t="s">
        <v>440</v>
      </c>
      <c r="D74" s="193" t="s">
        <v>1886</v>
      </c>
      <c r="E74" s="193" t="s">
        <v>1936</v>
      </c>
      <c r="F74" s="140" t="s">
        <v>788</v>
      </c>
      <c r="G74" s="140" t="s">
        <v>1078</v>
      </c>
      <c r="H74" s="182" t="s">
        <v>2396</v>
      </c>
      <c r="I74" s="193" t="s">
        <v>2729</v>
      </c>
      <c r="J74" s="146" t="s">
        <v>2587</v>
      </c>
      <c r="K74" s="193" t="s">
        <v>935</v>
      </c>
      <c r="L74" s="193" t="s">
        <v>2917</v>
      </c>
      <c r="M74" s="140" t="s">
        <v>2588</v>
      </c>
      <c r="N74" s="193" t="s">
        <v>209</v>
      </c>
      <c r="O74" s="140" t="s">
        <v>132</v>
      </c>
      <c r="P74" s="140"/>
      <c r="Q74" s="140" t="s">
        <v>1812</v>
      </c>
      <c r="R74" s="140" t="s">
        <v>1812</v>
      </c>
      <c r="S74" s="193" t="s">
        <v>10</v>
      </c>
      <c r="T74" s="165">
        <v>129</v>
      </c>
      <c r="U74" s="166">
        <v>130</v>
      </c>
      <c r="V74" s="144" t="s">
        <v>32</v>
      </c>
      <c r="W74" s="140" t="s">
        <v>1588</v>
      </c>
      <c r="X74" s="193" t="s">
        <v>1906</v>
      </c>
      <c r="Y74" s="144" t="s">
        <v>1946</v>
      </c>
      <c r="Z74" s="144" t="s">
        <v>1946</v>
      </c>
      <c r="AA74" s="143" t="s">
        <v>866</v>
      </c>
      <c r="AB74" s="143" t="s">
        <v>1108</v>
      </c>
      <c r="AC74" s="158" t="s">
        <v>2452</v>
      </c>
      <c r="AD74" s="223" t="s">
        <v>2676</v>
      </c>
      <c r="AE74" s="145" t="s">
        <v>2394</v>
      </c>
      <c r="AF74" s="142" t="s">
        <v>972</v>
      </c>
      <c r="AG74" s="145" t="s">
        <v>2974</v>
      </c>
      <c r="AH74" s="145" t="s">
        <v>895</v>
      </c>
      <c r="AI74" s="146" t="s">
        <v>199</v>
      </c>
      <c r="AJ74" s="151" t="s">
        <v>109</v>
      </c>
      <c r="AK74" s="151"/>
      <c r="AL74" s="57"/>
      <c r="AM74" s="57" t="s">
        <v>1780</v>
      </c>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row>
    <row r="75" spans="1:74" ht="14.1" customHeight="1">
      <c r="A75" s="148"/>
      <c r="B75" s="140" t="s">
        <v>1557</v>
      </c>
      <c r="C75" s="193" t="s">
        <v>441</v>
      </c>
      <c r="D75" s="193" t="s">
        <v>1887</v>
      </c>
      <c r="E75" s="193" t="s">
        <v>1937</v>
      </c>
      <c r="F75" s="140" t="s">
        <v>789</v>
      </c>
      <c r="G75" s="140" t="s">
        <v>1079</v>
      </c>
      <c r="H75" s="182" t="s">
        <v>2585</v>
      </c>
      <c r="I75" s="193" t="s">
        <v>2730</v>
      </c>
      <c r="J75" s="146" t="s">
        <v>2485</v>
      </c>
      <c r="K75" s="193" t="s">
        <v>936</v>
      </c>
      <c r="L75" s="193" t="s">
        <v>2918</v>
      </c>
      <c r="M75" s="140" t="s">
        <v>769</v>
      </c>
      <c r="N75" s="193" t="s">
        <v>210</v>
      </c>
      <c r="O75" s="140" t="s">
        <v>133</v>
      </c>
      <c r="P75" s="140"/>
      <c r="Q75" s="140" t="s">
        <v>1813</v>
      </c>
      <c r="R75" s="140" t="s">
        <v>1813</v>
      </c>
      <c r="S75" s="193" t="s">
        <v>11</v>
      </c>
      <c r="T75" s="165">
        <v>131</v>
      </c>
      <c r="U75" s="166">
        <v>132</v>
      </c>
      <c r="V75" s="144" t="s">
        <v>33</v>
      </c>
      <c r="W75" s="140" t="s">
        <v>1587</v>
      </c>
      <c r="X75" s="193" t="s">
        <v>1907</v>
      </c>
      <c r="Y75" s="144" t="s">
        <v>1947</v>
      </c>
      <c r="Z75" s="144" t="s">
        <v>1947</v>
      </c>
      <c r="AA75" s="143" t="s">
        <v>867</v>
      </c>
      <c r="AB75" s="143" t="s">
        <v>1109</v>
      </c>
      <c r="AC75" s="158" t="s">
        <v>2453</v>
      </c>
      <c r="AD75" s="223" t="s">
        <v>2677</v>
      </c>
      <c r="AE75" s="145" t="s">
        <v>2395</v>
      </c>
      <c r="AF75" s="142" t="s">
        <v>973</v>
      </c>
      <c r="AG75" s="145" t="s">
        <v>2975</v>
      </c>
      <c r="AH75" s="145" t="s">
        <v>896</v>
      </c>
      <c r="AI75" s="146" t="s">
        <v>200</v>
      </c>
      <c r="AJ75" s="151" t="s">
        <v>110</v>
      </c>
      <c r="AK75" s="151"/>
      <c r="AL75" s="57"/>
      <c r="AM75" s="57" t="s">
        <v>1781</v>
      </c>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row>
    <row r="76" spans="1:74" ht="14.1" customHeight="1">
      <c r="A76" s="148"/>
      <c r="B76" s="140" t="s">
        <v>1562</v>
      </c>
      <c r="C76" s="193" t="s">
        <v>442</v>
      </c>
      <c r="D76" s="193" t="s">
        <v>1888</v>
      </c>
      <c r="E76" s="193" t="s">
        <v>1878</v>
      </c>
      <c r="F76" s="140" t="s">
        <v>790</v>
      </c>
      <c r="G76" s="140" t="s">
        <v>1076</v>
      </c>
      <c r="H76" s="182" t="s">
        <v>2397</v>
      </c>
      <c r="I76" s="193" t="s">
        <v>2733</v>
      </c>
      <c r="J76" s="146" t="s">
        <v>2405</v>
      </c>
      <c r="K76" s="193" t="s">
        <v>945</v>
      </c>
      <c r="L76" s="193" t="s">
        <v>2919</v>
      </c>
      <c r="M76" s="140" t="s">
        <v>817</v>
      </c>
      <c r="N76" s="193" t="s">
        <v>212</v>
      </c>
      <c r="O76" s="140" t="s">
        <v>93</v>
      </c>
      <c r="P76" s="140"/>
      <c r="Q76" s="140" t="s">
        <v>1808</v>
      </c>
      <c r="R76" s="140" t="s">
        <v>1808</v>
      </c>
      <c r="S76" s="193" t="s">
        <v>10</v>
      </c>
      <c r="T76" s="165">
        <v>133</v>
      </c>
      <c r="U76" s="166">
        <v>134</v>
      </c>
      <c r="V76" s="189" t="s">
        <v>2</v>
      </c>
      <c r="W76" s="189" t="s">
        <v>2</v>
      </c>
      <c r="X76" s="189" t="s">
        <v>2</v>
      </c>
      <c r="Y76" s="189" t="s">
        <v>2</v>
      </c>
      <c r="Z76" s="189" t="s">
        <v>2</v>
      </c>
      <c r="AA76" s="137" t="s">
        <v>2</v>
      </c>
      <c r="AB76" s="137" t="s">
        <v>2</v>
      </c>
      <c r="AC76" s="155" t="s">
        <v>2</v>
      </c>
      <c r="AD76" s="138" t="s">
        <v>2</v>
      </c>
      <c r="AE76" s="138" t="s">
        <v>2</v>
      </c>
      <c r="AF76" s="137" t="s">
        <v>2</v>
      </c>
      <c r="AG76" s="138" t="s">
        <v>2</v>
      </c>
      <c r="AH76" s="138" t="s">
        <v>2</v>
      </c>
      <c r="AI76" s="138" t="s">
        <v>2</v>
      </c>
      <c r="AJ76" s="138" t="s">
        <v>2</v>
      </c>
      <c r="AK76" s="138" t="s">
        <v>2</v>
      </c>
      <c r="AL76" s="37"/>
      <c r="AM76" s="37" t="s">
        <v>2</v>
      </c>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row>
    <row r="77" spans="1:74" ht="14.1" customHeight="1">
      <c r="A77" s="148"/>
      <c r="B77" s="140" t="s">
        <v>1561</v>
      </c>
      <c r="C77" s="193" t="s">
        <v>443</v>
      </c>
      <c r="D77" s="193" t="s">
        <v>1889</v>
      </c>
      <c r="E77" s="193" t="s">
        <v>1879</v>
      </c>
      <c r="F77" s="140" t="s">
        <v>791</v>
      </c>
      <c r="G77" s="140" t="s">
        <v>1077</v>
      </c>
      <c r="H77" s="182" t="s">
        <v>2398</v>
      </c>
      <c r="I77" s="193" t="s">
        <v>2734</v>
      </c>
      <c r="J77" s="146" t="s">
        <v>2406</v>
      </c>
      <c r="K77" s="193" t="s">
        <v>1050</v>
      </c>
      <c r="L77" s="193" t="s">
        <v>2920</v>
      </c>
      <c r="M77" s="140" t="s">
        <v>1008</v>
      </c>
      <c r="N77" s="193" t="s">
        <v>214</v>
      </c>
      <c r="O77" s="140" t="s">
        <v>94</v>
      </c>
      <c r="P77" s="140"/>
      <c r="Q77" s="140" t="s">
        <v>1809</v>
      </c>
      <c r="R77" s="140" t="s">
        <v>1809</v>
      </c>
      <c r="S77" s="193" t="s">
        <v>11</v>
      </c>
      <c r="T77" s="165">
        <v>135</v>
      </c>
      <c r="U77" s="166">
        <v>136</v>
      </c>
      <c r="V77" s="193" t="s">
        <v>10</v>
      </c>
      <c r="W77" s="140" t="s">
        <v>1564</v>
      </c>
      <c r="X77" s="193" t="s">
        <v>1904</v>
      </c>
      <c r="Y77" s="193" t="s">
        <v>2269</v>
      </c>
      <c r="Z77" s="193" t="s">
        <v>2241</v>
      </c>
      <c r="AA77" s="143" t="s">
        <v>868</v>
      </c>
      <c r="AB77" s="143" t="s">
        <v>1120</v>
      </c>
      <c r="AC77" s="154" t="s">
        <v>2454</v>
      </c>
      <c r="AD77" s="42" t="s">
        <v>2694</v>
      </c>
      <c r="AE77" s="151" t="s">
        <v>2385</v>
      </c>
      <c r="AF77" s="143" t="s">
        <v>990</v>
      </c>
      <c r="AG77" s="146" t="s">
        <v>2976</v>
      </c>
      <c r="AH77" s="151" t="s">
        <v>1025</v>
      </c>
      <c r="AI77" s="146" t="s">
        <v>201</v>
      </c>
      <c r="AJ77" s="151" t="s">
        <v>107</v>
      </c>
      <c r="AK77" s="151"/>
      <c r="AL77" s="57"/>
      <c r="AM77" s="57" t="s">
        <v>1782</v>
      </c>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row>
    <row r="78" spans="1:74" ht="14.1" customHeight="1">
      <c r="A78" s="148"/>
      <c r="B78" s="189" t="s">
        <v>2</v>
      </c>
      <c r="C78" s="189" t="s">
        <v>2</v>
      </c>
      <c r="D78" s="189" t="s">
        <v>2</v>
      </c>
      <c r="E78" s="189" t="s">
        <v>2</v>
      </c>
      <c r="F78" s="189" t="s">
        <v>2</v>
      </c>
      <c r="G78" s="189" t="s">
        <v>2</v>
      </c>
      <c r="H78" s="180" t="s">
        <v>2</v>
      </c>
      <c r="I78" s="189" t="s">
        <v>2</v>
      </c>
      <c r="J78" s="189" t="s">
        <v>2</v>
      </c>
      <c r="K78" s="189" t="s">
        <v>2</v>
      </c>
      <c r="L78" s="189" t="s">
        <v>2</v>
      </c>
      <c r="M78" s="189" t="s">
        <v>2</v>
      </c>
      <c r="N78" s="189" t="s">
        <v>2</v>
      </c>
      <c r="O78" s="189" t="s">
        <v>2</v>
      </c>
      <c r="P78" s="189" t="s">
        <v>2</v>
      </c>
      <c r="Q78" s="189" t="s">
        <v>2</v>
      </c>
      <c r="R78" s="189" t="s">
        <v>2</v>
      </c>
      <c r="S78" s="189" t="s">
        <v>2</v>
      </c>
      <c r="T78" s="165">
        <v>137</v>
      </c>
      <c r="U78" s="166">
        <v>138</v>
      </c>
      <c r="V78" s="193" t="s">
        <v>11</v>
      </c>
      <c r="W78" s="140" t="s">
        <v>1563</v>
      </c>
      <c r="X78" s="193" t="s">
        <v>1905</v>
      </c>
      <c r="Y78" s="193" t="s">
        <v>2270</v>
      </c>
      <c r="Z78" s="193" t="s">
        <v>2242</v>
      </c>
      <c r="AA78" s="143" t="s">
        <v>869</v>
      </c>
      <c r="AB78" s="143" t="s">
        <v>1121</v>
      </c>
      <c r="AC78" s="154" t="s">
        <v>2455</v>
      </c>
      <c r="AD78" s="42" t="s">
        <v>2695</v>
      </c>
      <c r="AE78" s="151" t="s">
        <v>2386</v>
      </c>
      <c r="AF78" s="143" t="s">
        <v>991</v>
      </c>
      <c r="AG78" s="146" t="s">
        <v>2977</v>
      </c>
      <c r="AH78" s="151" t="s">
        <v>1026</v>
      </c>
      <c r="AI78" s="146" t="s">
        <v>202</v>
      </c>
      <c r="AJ78" s="151" t="s">
        <v>108</v>
      </c>
      <c r="AK78" s="151"/>
      <c r="AL78" s="57"/>
      <c r="AM78" s="57" t="s">
        <v>1783</v>
      </c>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row>
    <row r="79" spans="1:74" ht="14.1" customHeight="1">
      <c r="A79" s="148"/>
      <c r="B79" s="140" t="s">
        <v>1578</v>
      </c>
      <c r="C79" s="193" t="s">
        <v>1846</v>
      </c>
      <c r="D79" s="193" t="s">
        <v>1894</v>
      </c>
      <c r="E79" s="193" t="s">
        <v>1932</v>
      </c>
      <c r="F79" s="140" t="s">
        <v>792</v>
      </c>
      <c r="G79" s="140" t="s">
        <v>1074</v>
      </c>
      <c r="H79" s="182" t="s">
        <v>2399</v>
      </c>
      <c r="I79" s="193" t="s">
        <v>2721</v>
      </c>
      <c r="J79" s="146" t="s">
        <v>2397</v>
      </c>
      <c r="K79" s="193" t="s">
        <v>943</v>
      </c>
      <c r="L79" s="193" t="s">
        <v>2921</v>
      </c>
      <c r="M79" s="140" t="s">
        <v>749</v>
      </c>
      <c r="N79" s="193" t="s">
        <v>197</v>
      </c>
      <c r="O79" s="140" t="s">
        <v>129</v>
      </c>
      <c r="P79" s="140"/>
      <c r="Q79" s="140" t="s">
        <v>1806</v>
      </c>
      <c r="R79" s="140" t="s">
        <v>1806</v>
      </c>
      <c r="S79" s="193" t="s">
        <v>10</v>
      </c>
      <c r="T79" s="165">
        <v>139</v>
      </c>
      <c r="U79" s="166">
        <v>140</v>
      </c>
      <c r="V79" s="194" t="s">
        <v>9</v>
      </c>
      <c r="W79" s="194" t="s">
        <v>1605</v>
      </c>
      <c r="X79" s="194" t="s">
        <v>794</v>
      </c>
      <c r="Y79" s="194" t="s">
        <v>795</v>
      </c>
      <c r="Z79" s="194" t="s">
        <v>795</v>
      </c>
      <c r="AA79" s="149" t="s">
        <v>1006</v>
      </c>
      <c r="AB79" s="149" t="s">
        <v>1139</v>
      </c>
      <c r="AC79" s="153" t="s">
        <v>2181</v>
      </c>
      <c r="AD79" s="150" t="s">
        <v>2181</v>
      </c>
      <c r="AE79" s="150" t="s">
        <v>2182</v>
      </c>
      <c r="AF79" s="149" t="s">
        <v>765</v>
      </c>
      <c r="AG79" s="150" t="s">
        <v>2182</v>
      </c>
      <c r="AH79" s="150" t="s">
        <v>796</v>
      </c>
      <c r="AI79" s="150" t="s">
        <v>413</v>
      </c>
      <c r="AJ79" s="150" t="s">
        <v>413</v>
      </c>
      <c r="AK79" s="150" t="s">
        <v>413</v>
      </c>
      <c r="AL79" s="38"/>
      <c r="AM79" s="38" t="s">
        <v>413</v>
      </c>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row>
    <row r="80" spans="1:74" ht="14.1" customHeight="1">
      <c r="A80" s="148"/>
      <c r="B80" s="140" t="s">
        <v>1577</v>
      </c>
      <c r="C80" s="193" t="s">
        <v>1847</v>
      </c>
      <c r="D80" s="193" t="s">
        <v>1895</v>
      </c>
      <c r="E80" s="193" t="s">
        <v>1933</v>
      </c>
      <c r="F80" s="140" t="s">
        <v>793</v>
      </c>
      <c r="G80" s="140" t="s">
        <v>1075</v>
      </c>
      <c r="H80" s="182" t="s">
        <v>2400</v>
      </c>
      <c r="I80" s="193" t="s">
        <v>2722</v>
      </c>
      <c r="J80" s="146" t="s">
        <v>2398</v>
      </c>
      <c r="K80" s="193" t="s">
        <v>944</v>
      </c>
      <c r="L80" s="193" t="s">
        <v>2922</v>
      </c>
      <c r="M80" s="140" t="s">
        <v>751</v>
      </c>
      <c r="N80" s="193" t="s">
        <v>198</v>
      </c>
      <c r="O80" s="140" t="s">
        <v>131</v>
      </c>
      <c r="P80" s="140"/>
      <c r="Q80" s="140" t="s">
        <v>1807</v>
      </c>
      <c r="R80" s="140" t="s">
        <v>1807</v>
      </c>
      <c r="S80" s="193" t="s">
        <v>11</v>
      </c>
      <c r="T80" s="165">
        <v>141</v>
      </c>
      <c r="U80" s="166">
        <v>142</v>
      </c>
      <c r="V80" s="193" t="s">
        <v>10</v>
      </c>
      <c r="W80" s="140" t="s">
        <v>1576</v>
      </c>
      <c r="X80" s="193" t="s">
        <v>1902</v>
      </c>
      <c r="Y80" s="193" t="s">
        <v>2173</v>
      </c>
      <c r="Z80" s="193" t="s">
        <v>1880</v>
      </c>
      <c r="AA80" s="143" t="s">
        <v>870</v>
      </c>
      <c r="AB80" s="143" t="s">
        <v>1106</v>
      </c>
      <c r="AC80" s="154" t="s">
        <v>2456</v>
      </c>
      <c r="AD80" s="42" t="s">
        <v>2696</v>
      </c>
      <c r="AE80" s="151" t="s">
        <v>2584</v>
      </c>
      <c r="AF80" s="143" t="s">
        <v>988</v>
      </c>
      <c r="AG80" s="146" t="s">
        <v>2978</v>
      </c>
      <c r="AH80" s="151" t="s">
        <v>858</v>
      </c>
      <c r="AI80" s="146" t="s">
        <v>203</v>
      </c>
      <c r="AJ80" s="151" t="s">
        <v>146</v>
      </c>
      <c r="AK80" s="151"/>
      <c r="AL80" s="57"/>
      <c r="AM80" s="57" t="s">
        <v>1784</v>
      </c>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row>
    <row r="81" spans="1:74" ht="14.1" customHeight="1">
      <c r="A81" s="148"/>
      <c r="B81" s="194" t="s">
        <v>1605</v>
      </c>
      <c r="C81" s="194" t="s">
        <v>794</v>
      </c>
      <c r="D81" s="194" t="s">
        <v>795</v>
      </c>
      <c r="E81" s="194" t="s">
        <v>795</v>
      </c>
      <c r="F81" s="194" t="s">
        <v>1006</v>
      </c>
      <c r="G81" s="194" t="s">
        <v>1139</v>
      </c>
      <c r="H81" s="176" t="s">
        <v>2182</v>
      </c>
      <c r="I81" s="194" t="s">
        <v>2182</v>
      </c>
      <c r="J81" s="194" t="s">
        <v>2182</v>
      </c>
      <c r="K81" s="194" t="s">
        <v>934</v>
      </c>
      <c r="L81" s="194" t="s">
        <v>2182</v>
      </c>
      <c r="M81" s="194" t="s">
        <v>765</v>
      </c>
      <c r="N81" s="194" t="s">
        <v>413</v>
      </c>
      <c r="O81" s="194" t="s">
        <v>413</v>
      </c>
      <c r="P81" s="194" t="s">
        <v>413</v>
      </c>
      <c r="Q81" s="194" t="s">
        <v>413</v>
      </c>
      <c r="R81" s="194" t="s">
        <v>413</v>
      </c>
      <c r="S81" s="194" t="s">
        <v>9</v>
      </c>
      <c r="T81" s="165">
        <v>143</v>
      </c>
      <c r="U81" s="166">
        <v>144</v>
      </c>
      <c r="V81" s="193" t="s">
        <v>11</v>
      </c>
      <c r="W81" s="140" t="s">
        <v>1575</v>
      </c>
      <c r="X81" s="193" t="s">
        <v>1903</v>
      </c>
      <c r="Y81" s="193" t="s">
        <v>2172</v>
      </c>
      <c r="Z81" s="193" t="s">
        <v>1881</v>
      </c>
      <c r="AA81" s="143" t="s">
        <v>871</v>
      </c>
      <c r="AB81" s="143" t="s">
        <v>1107</v>
      </c>
      <c r="AC81" s="154" t="s">
        <v>2457</v>
      </c>
      <c r="AD81" s="42" t="s">
        <v>2697</v>
      </c>
      <c r="AE81" s="151" t="s">
        <v>2389</v>
      </c>
      <c r="AF81" s="143" t="s">
        <v>989</v>
      </c>
      <c r="AG81" s="146" t="s">
        <v>2979</v>
      </c>
      <c r="AH81" s="151" t="s">
        <v>860</v>
      </c>
      <c r="AI81" s="146" t="s">
        <v>204</v>
      </c>
      <c r="AJ81" s="151" t="s">
        <v>147</v>
      </c>
      <c r="AK81" s="151"/>
      <c r="AL81" s="57"/>
      <c r="AM81" s="57" t="s">
        <v>1785</v>
      </c>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row>
    <row r="82" spans="1:74" ht="14.1" customHeight="1">
      <c r="A82" s="148"/>
      <c r="B82" s="140" t="s">
        <v>1566</v>
      </c>
      <c r="C82" s="193" t="s">
        <v>1848</v>
      </c>
      <c r="D82" s="193" t="s">
        <v>1890</v>
      </c>
      <c r="E82" s="193" t="s">
        <v>1860</v>
      </c>
      <c r="F82" s="140" t="s">
        <v>797</v>
      </c>
      <c r="G82" s="140" t="s">
        <v>1072</v>
      </c>
      <c r="H82" s="182" t="s">
        <v>2401</v>
      </c>
      <c r="I82" s="193" t="s">
        <v>2719</v>
      </c>
      <c r="J82" s="146" t="s">
        <v>2401</v>
      </c>
      <c r="K82" s="193" t="s">
        <v>939</v>
      </c>
      <c r="L82" s="193" t="s">
        <v>2923</v>
      </c>
      <c r="M82" s="140" t="s">
        <v>2769</v>
      </c>
      <c r="N82" s="193" t="s">
        <v>195</v>
      </c>
      <c r="O82" s="140" t="s">
        <v>91</v>
      </c>
      <c r="P82" s="140"/>
      <c r="Q82" s="140" t="s">
        <v>1804</v>
      </c>
      <c r="R82" s="140" t="s">
        <v>1804</v>
      </c>
      <c r="S82" s="193" t="s">
        <v>10</v>
      </c>
      <c r="T82" s="165">
        <v>145</v>
      </c>
      <c r="U82" s="166">
        <v>146</v>
      </c>
      <c r="V82" s="189" t="s">
        <v>2</v>
      </c>
      <c r="W82" s="189" t="s">
        <v>2</v>
      </c>
      <c r="X82" s="189" t="s">
        <v>2</v>
      </c>
      <c r="Y82" s="189" t="s">
        <v>2</v>
      </c>
      <c r="Z82" s="189" t="s">
        <v>2</v>
      </c>
      <c r="AA82" s="137" t="s">
        <v>2</v>
      </c>
      <c r="AB82" s="137" t="s">
        <v>2</v>
      </c>
      <c r="AC82" s="155" t="s">
        <v>2</v>
      </c>
      <c r="AD82" s="138" t="s">
        <v>2</v>
      </c>
      <c r="AE82" s="138" t="s">
        <v>2</v>
      </c>
      <c r="AF82" s="137" t="s">
        <v>2</v>
      </c>
      <c r="AG82" s="138" t="s">
        <v>2</v>
      </c>
      <c r="AH82" s="138" t="s">
        <v>2</v>
      </c>
      <c r="AI82" s="138" t="s">
        <v>2</v>
      </c>
      <c r="AJ82" s="138" t="s">
        <v>2</v>
      </c>
      <c r="AK82" s="138" t="s">
        <v>2</v>
      </c>
      <c r="AL82" s="37"/>
      <c r="AM82" s="37" t="s">
        <v>2</v>
      </c>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row>
    <row r="83" spans="1:74" ht="14.1" customHeight="1">
      <c r="A83" s="148"/>
      <c r="B83" s="140" t="s">
        <v>1565</v>
      </c>
      <c r="C83" s="193" t="s">
        <v>1849</v>
      </c>
      <c r="D83" s="193" t="s">
        <v>1891</v>
      </c>
      <c r="E83" s="193" t="s">
        <v>1861</v>
      </c>
      <c r="F83" s="140" t="s">
        <v>798</v>
      </c>
      <c r="G83" s="140" t="s">
        <v>1073</v>
      </c>
      <c r="H83" s="182" t="s">
        <v>2402</v>
      </c>
      <c r="I83" s="193" t="s">
        <v>2720</v>
      </c>
      <c r="J83" s="146" t="s">
        <v>2402</v>
      </c>
      <c r="K83" s="193" t="s">
        <v>940</v>
      </c>
      <c r="L83" s="193" t="s">
        <v>2924</v>
      </c>
      <c r="M83" s="140" t="s">
        <v>747</v>
      </c>
      <c r="N83" s="193" t="s">
        <v>196</v>
      </c>
      <c r="O83" s="140" t="s">
        <v>92</v>
      </c>
      <c r="P83" s="140"/>
      <c r="Q83" s="140" t="s">
        <v>1805</v>
      </c>
      <c r="R83" s="140" t="s">
        <v>1805</v>
      </c>
      <c r="S83" s="193" t="s">
        <v>11</v>
      </c>
      <c r="T83" s="165">
        <v>147</v>
      </c>
      <c r="U83" s="166">
        <v>148</v>
      </c>
      <c r="V83" s="193" t="s">
        <v>10</v>
      </c>
      <c r="W83" s="140" t="s">
        <v>1572</v>
      </c>
      <c r="X83" s="193" t="s">
        <v>1900</v>
      </c>
      <c r="Y83" s="193" t="s">
        <v>2171</v>
      </c>
      <c r="Z83" s="193" t="s">
        <v>1938</v>
      </c>
      <c r="AA83" s="143" t="s">
        <v>872</v>
      </c>
      <c r="AB83" s="143" t="s">
        <v>1104</v>
      </c>
      <c r="AC83" s="154" t="s">
        <v>2458</v>
      </c>
      <c r="AD83" s="42" t="s">
        <v>2686</v>
      </c>
      <c r="AE83" s="151" t="s">
        <v>2396</v>
      </c>
      <c r="AF83" s="143" t="s">
        <v>984</v>
      </c>
      <c r="AG83" s="146" t="s">
        <v>2980</v>
      </c>
      <c r="AH83" s="151" t="s">
        <v>1015</v>
      </c>
      <c r="AI83" s="146" t="s">
        <v>205</v>
      </c>
      <c r="AJ83" s="151" t="s">
        <v>105</v>
      </c>
      <c r="AK83" s="151"/>
      <c r="AL83" s="57"/>
      <c r="AM83" s="57" t="s">
        <v>1786</v>
      </c>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row>
    <row r="84" spans="1:74" ht="14.1" customHeight="1">
      <c r="A84" s="148"/>
      <c r="B84" s="189" t="s">
        <v>2</v>
      </c>
      <c r="C84" s="189" t="s">
        <v>2</v>
      </c>
      <c r="D84" s="189" t="s">
        <v>2</v>
      </c>
      <c r="E84" s="189" t="s">
        <v>2</v>
      </c>
      <c r="F84" s="189" t="s">
        <v>2</v>
      </c>
      <c r="G84" s="189" t="s">
        <v>2</v>
      </c>
      <c r="H84" s="180" t="s">
        <v>2</v>
      </c>
      <c r="I84" s="189" t="s">
        <v>2</v>
      </c>
      <c r="J84" s="189" t="s">
        <v>2</v>
      </c>
      <c r="K84" s="189" t="s">
        <v>2</v>
      </c>
      <c r="L84" s="189" t="s">
        <v>2</v>
      </c>
      <c r="M84" s="189" t="s">
        <v>2</v>
      </c>
      <c r="N84" s="189" t="s">
        <v>2</v>
      </c>
      <c r="O84" s="189" t="s">
        <v>2</v>
      </c>
      <c r="P84" s="189" t="s">
        <v>2</v>
      </c>
      <c r="Q84" s="189" t="s">
        <v>2</v>
      </c>
      <c r="R84" s="189" t="s">
        <v>2</v>
      </c>
      <c r="S84" s="189" t="s">
        <v>2</v>
      </c>
      <c r="T84" s="165">
        <v>149</v>
      </c>
      <c r="U84" s="166">
        <v>150</v>
      </c>
      <c r="V84" s="193" t="s">
        <v>11</v>
      </c>
      <c r="W84" s="140" t="s">
        <v>1571</v>
      </c>
      <c r="X84" s="193" t="s">
        <v>1901</v>
      </c>
      <c r="Y84" s="193" t="s">
        <v>2170</v>
      </c>
      <c r="Z84" s="193" t="s">
        <v>1939</v>
      </c>
      <c r="AA84" s="143" t="s">
        <v>874</v>
      </c>
      <c r="AB84" s="143" t="s">
        <v>1105</v>
      </c>
      <c r="AC84" s="154" t="s">
        <v>2459</v>
      </c>
      <c r="AD84" s="42" t="s">
        <v>2687</v>
      </c>
      <c r="AE84" s="151" t="s">
        <v>2585</v>
      </c>
      <c r="AF84" s="143" t="s">
        <v>985</v>
      </c>
      <c r="AG84" s="146" t="s">
        <v>2981</v>
      </c>
      <c r="AH84" s="151" t="s">
        <v>1016</v>
      </c>
      <c r="AI84" s="146" t="s">
        <v>207</v>
      </c>
      <c r="AJ84" s="151" t="s">
        <v>106</v>
      </c>
      <c r="AK84" s="151"/>
      <c r="AL84" s="57"/>
      <c r="AM84" s="57" t="s">
        <v>1787</v>
      </c>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row>
    <row r="85" spans="1:74" ht="14.1" customHeight="1">
      <c r="A85" s="148"/>
      <c r="B85" s="144" t="s">
        <v>1582</v>
      </c>
      <c r="C85" s="144" t="s">
        <v>2052</v>
      </c>
      <c r="D85" s="144" t="s">
        <v>1892</v>
      </c>
      <c r="E85" s="144" t="s">
        <v>1926</v>
      </c>
      <c r="F85" s="144" t="s">
        <v>1052</v>
      </c>
      <c r="G85" s="140" t="s">
        <v>1070</v>
      </c>
      <c r="H85" s="184" t="s">
        <v>2403</v>
      </c>
      <c r="I85" s="144" t="s">
        <v>2713</v>
      </c>
      <c r="J85" s="145" t="s">
        <v>2403</v>
      </c>
      <c r="K85" s="144" t="s">
        <v>954</v>
      </c>
      <c r="L85" s="144" t="s">
        <v>2925</v>
      </c>
      <c r="M85" s="144" t="s">
        <v>754</v>
      </c>
      <c r="N85" s="144" t="s">
        <v>231</v>
      </c>
      <c r="O85" s="140" t="s">
        <v>86</v>
      </c>
      <c r="P85" s="140"/>
      <c r="Q85" s="140" t="s">
        <v>1798</v>
      </c>
      <c r="R85" s="140" t="s">
        <v>1798</v>
      </c>
      <c r="S85" s="144" t="s">
        <v>30</v>
      </c>
      <c r="T85" s="165">
        <v>151</v>
      </c>
      <c r="U85" s="166">
        <v>152</v>
      </c>
      <c r="V85" s="194" t="s">
        <v>261</v>
      </c>
      <c r="W85" s="194" t="s">
        <v>3</v>
      </c>
      <c r="X85" s="194" t="s">
        <v>3</v>
      </c>
      <c r="Y85" s="194" t="s">
        <v>3</v>
      </c>
      <c r="Z85" s="194" t="s">
        <v>3</v>
      </c>
      <c r="AA85" s="149" t="s">
        <v>3</v>
      </c>
      <c r="AB85" s="149" t="s">
        <v>3</v>
      </c>
      <c r="AC85" s="153" t="s">
        <v>3</v>
      </c>
      <c r="AD85" s="150" t="s">
        <v>3</v>
      </c>
      <c r="AE85" s="150" t="s">
        <v>3</v>
      </c>
      <c r="AF85" s="149" t="s">
        <v>3</v>
      </c>
      <c r="AG85" s="150" t="s">
        <v>3</v>
      </c>
      <c r="AH85" s="150" t="s">
        <v>3</v>
      </c>
      <c r="AI85" s="150" t="s">
        <v>3</v>
      </c>
      <c r="AJ85" s="150" t="s">
        <v>541</v>
      </c>
      <c r="AK85" s="150" t="s">
        <v>541</v>
      </c>
      <c r="AL85" s="38"/>
      <c r="AM85" s="38" t="s">
        <v>541</v>
      </c>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row>
    <row r="86" spans="1:74" ht="14.1" customHeight="1">
      <c r="A86" s="148"/>
      <c r="B86" s="144" t="s">
        <v>1581</v>
      </c>
      <c r="C86" s="144" t="s">
        <v>2053</v>
      </c>
      <c r="D86" s="144" t="s">
        <v>1893</v>
      </c>
      <c r="E86" s="144" t="s">
        <v>1927</v>
      </c>
      <c r="F86" s="144" t="s">
        <v>1053</v>
      </c>
      <c r="G86" s="140" t="s">
        <v>1071</v>
      </c>
      <c r="H86" s="184" t="s">
        <v>2404</v>
      </c>
      <c r="I86" s="144" t="s">
        <v>2714</v>
      </c>
      <c r="J86" s="145" t="s">
        <v>2404</v>
      </c>
      <c r="K86" s="144" t="s">
        <v>955</v>
      </c>
      <c r="L86" s="144" t="s">
        <v>2926</v>
      </c>
      <c r="M86" s="144" t="s">
        <v>756</v>
      </c>
      <c r="N86" s="144" t="s">
        <v>232</v>
      </c>
      <c r="O86" s="140" t="s">
        <v>87</v>
      </c>
      <c r="P86" s="140"/>
      <c r="Q86" s="140" t="s">
        <v>1799</v>
      </c>
      <c r="R86" s="140" t="s">
        <v>1799</v>
      </c>
      <c r="S86" s="144" t="s">
        <v>31</v>
      </c>
      <c r="T86" s="165">
        <v>153</v>
      </c>
      <c r="U86" s="166">
        <v>154</v>
      </c>
      <c r="V86" s="144" t="s">
        <v>32</v>
      </c>
      <c r="W86" s="144" t="s">
        <v>1580</v>
      </c>
      <c r="X86" s="193" t="s">
        <v>1899</v>
      </c>
      <c r="Y86" s="144" t="s">
        <v>1948</v>
      </c>
      <c r="Z86" s="144" t="s">
        <v>1892</v>
      </c>
      <c r="AA86" s="142" t="s">
        <v>876</v>
      </c>
      <c r="AB86" s="143" t="s">
        <v>1102</v>
      </c>
      <c r="AC86" s="158" t="s">
        <v>2460</v>
      </c>
      <c r="AD86" s="223" t="s">
        <v>2678</v>
      </c>
      <c r="AE86" s="145" t="s">
        <v>2372</v>
      </c>
      <c r="AF86" s="142" t="s">
        <v>970</v>
      </c>
      <c r="AG86" s="145" t="s">
        <v>2982</v>
      </c>
      <c r="AH86" s="145" t="s">
        <v>891</v>
      </c>
      <c r="AI86" s="146" t="s">
        <v>206</v>
      </c>
      <c r="AJ86" s="151" t="s">
        <v>103</v>
      </c>
      <c r="AK86" s="151"/>
      <c r="AL86" s="57"/>
      <c r="AM86" s="57" t="s">
        <v>1788</v>
      </c>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row>
    <row r="87" spans="1:74" ht="14.1" customHeight="1">
      <c r="A87" s="148"/>
      <c r="B87" s="194" t="s">
        <v>3</v>
      </c>
      <c r="C87" s="194" t="s">
        <v>3</v>
      </c>
      <c r="D87" s="194" t="s">
        <v>3</v>
      </c>
      <c r="E87" s="194" t="s">
        <v>3</v>
      </c>
      <c r="F87" s="194" t="s">
        <v>3</v>
      </c>
      <c r="G87" s="194" t="s">
        <v>3</v>
      </c>
      <c r="H87" s="176" t="s">
        <v>3</v>
      </c>
      <c r="I87" s="194" t="s">
        <v>3</v>
      </c>
      <c r="J87" s="194" t="s">
        <v>3</v>
      </c>
      <c r="K87" s="194" t="s">
        <v>3</v>
      </c>
      <c r="L87" s="194" t="s">
        <v>3</v>
      </c>
      <c r="M87" s="194" t="s">
        <v>3</v>
      </c>
      <c r="N87" s="194" t="s">
        <v>3</v>
      </c>
      <c r="O87" s="194" t="s">
        <v>541</v>
      </c>
      <c r="P87" s="194" t="s">
        <v>541</v>
      </c>
      <c r="Q87" s="194" t="s">
        <v>541</v>
      </c>
      <c r="R87" s="194" t="s">
        <v>541</v>
      </c>
      <c r="S87" s="194" t="s">
        <v>261</v>
      </c>
      <c r="T87" s="165">
        <v>155</v>
      </c>
      <c r="U87" s="166">
        <v>156</v>
      </c>
      <c r="V87" s="144" t="s">
        <v>33</v>
      </c>
      <c r="W87" s="144" t="s">
        <v>1579</v>
      </c>
      <c r="X87" s="193" t="s">
        <v>1898</v>
      </c>
      <c r="Y87" s="144" t="s">
        <v>1949</v>
      </c>
      <c r="Z87" s="144" t="s">
        <v>1893</v>
      </c>
      <c r="AA87" s="142" t="s">
        <v>877</v>
      </c>
      <c r="AB87" s="143" t="s">
        <v>1103</v>
      </c>
      <c r="AC87" s="158" t="s">
        <v>2461</v>
      </c>
      <c r="AD87" s="223" t="s">
        <v>2679</v>
      </c>
      <c r="AE87" s="145" t="s">
        <v>2373</v>
      </c>
      <c r="AF87" s="142" t="s">
        <v>971</v>
      </c>
      <c r="AG87" s="145" t="s">
        <v>2983</v>
      </c>
      <c r="AH87" s="145" t="s">
        <v>892</v>
      </c>
      <c r="AI87" s="146" t="s">
        <v>208</v>
      </c>
      <c r="AJ87" s="151" t="s">
        <v>104</v>
      </c>
      <c r="AK87" s="151"/>
      <c r="AL87" s="57"/>
      <c r="AM87" s="57" t="s">
        <v>1789</v>
      </c>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row>
    <row r="88" spans="1:74" ht="14.1" customHeight="1">
      <c r="A88" s="148"/>
      <c r="B88" s="140" t="s">
        <v>1570</v>
      </c>
      <c r="C88" s="193" t="s">
        <v>1850</v>
      </c>
      <c r="D88" s="193" t="s">
        <v>2175</v>
      </c>
      <c r="E88" s="193" t="s">
        <v>1876</v>
      </c>
      <c r="F88" s="140" t="s">
        <v>799</v>
      </c>
      <c r="G88" s="140" t="s">
        <v>1068</v>
      </c>
      <c r="H88" s="182" t="s">
        <v>2405</v>
      </c>
      <c r="I88" s="193" t="s">
        <v>2717</v>
      </c>
      <c r="J88" s="146" t="s">
        <v>2392</v>
      </c>
      <c r="K88" s="193" t="s">
        <v>941</v>
      </c>
      <c r="L88" s="193" t="s">
        <v>2927</v>
      </c>
      <c r="M88" s="140" t="s">
        <v>812</v>
      </c>
      <c r="N88" s="193" t="s">
        <v>192</v>
      </c>
      <c r="O88" s="140" t="s">
        <v>125</v>
      </c>
      <c r="P88" s="140"/>
      <c r="Q88" s="140" t="s">
        <v>1802</v>
      </c>
      <c r="R88" s="140" t="s">
        <v>1802</v>
      </c>
      <c r="S88" s="193" t="s">
        <v>10</v>
      </c>
      <c r="T88" s="165">
        <v>157</v>
      </c>
      <c r="U88" s="166">
        <v>158</v>
      </c>
      <c r="V88" s="189" t="s">
        <v>2</v>
      </c>
      <c r="W88" s="189" t="s">
        <v>2</v>
      </c>
      <c r="X88" s="189" t="s">
        <v>2</v>
      </c>
      <c r="Y88" s="189" t="s">
        <v>2</v>
      </c>
      <c r="Z88" s="189" t="s">
        <v>2</v>
      </c>
      <c r="AA88" s="137" t="s">
        <v>2</v>
      </c>
      <c r="AB88" s="137" t="s">
        <v>2</v>
      </c>
      <c r="AC88" s="155" t="s">
        <v>2</v>
      </c>
      <c r="AD88" s="138" t="s">
        <v>2</v>
      </c>
      <c r="AE88" s="138" t="s">
        <v>2</v>
      </c>
      <c r="AF88" s="137" t="s">
        <v>2</v>
      </c>
      <c r="AG88" s="138" t="s">
        <v>2</v>
      </c>
      <c r="AH88" s="138" t="s">
        <v>2</v>
      </c>
      <c r="AI88" s="138" t="s">
        <v>2</v>
      </c>
      <c r="AJ88" s="138" t="s">
        <v>2</v>
      </c>
      <c r="AK88" s="138" t="s">
        <v>2</v>
      </c>
      <c r="AL88" s="37"/>
      <c r="AM88" s="37" t="s">
        <v>2</v>
      </c>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row>
    <row r="89" spans="1:74" ht="14.1" customHeight="1">
      <c r="A89" s="148"/>
      <c r="B89" s="140" t="s">
        <v>1569</v>
      </c>
      <c r="C89" s="193" t="s">
        <v>1851</v>
      </c>
      <c r="D89" s="193" t="s">
        <v>2174</v>
      </c>
      <c r="E89" s="193" t="s">
        <v>1877</v>
      </c>
      <c r="F89" s="140" t="s">
        <v>801</v>
      </c>
      <c r="G89" s="140" t="s">
        <v>1069</v>
      </c>
      <c r="H89" s="182" t="s">
        <v>2406</v>
      </c>
      <c r="I89" s="193" t="s">
        <v>2718</v>
      </c>
      <c r="J89" s="146" t="s">
        <v>2393</v>
      </c>
      <c r="K89" s="193" t="s">
        <v>942</v>
      </c>
      <c r="L89" s="193" t="s">
        <v>2928</v>
      </c>
      <c r="M89" s="140" t="s">
        <v>814</v>
      </c>
      <c r="N89" s="193" t="s">
        <v>194</v>
      </c>
      <c r="O89" s="140" t="s">
        <v>127</v>
      </c>
      <c r="P89" s="140"/>
      <c r="Q89" s="140" t="s">
        <v>1803</v>
      </c>
      <c r="R89" s="140" t="s">
        <v>1803</v>
      </c>
      <c r="S89" s="193" t="s">
        <v>11</v>
      </c>
      <c r="T89" s="165">
        <v>159</v>
      </c>
      <c r="U89" s="166">
        <v>160</v>
      </c>
      <c r="V89" s="193" t="s">
        <v>10</v>
      </c>
      <c r="W89" s="140" t="s">
        <v>1568</v>
      </c>
      <c r="X89" s="193" t="s">
        <v>510</v>
      </c>
      <c r="Y89" s="193" t="s">
        <v>1950</v>
      </c>
      <c r="Z89" s="193" t="s">
        <v>1940</v>
      </c>
      <c r="AA89" s="143" t="s">
        <v>878</v>
      </c>
      <c r="AB89" s="143" t="s">
        <v>1100</v>
      </c>
      <c r="AC89" s="154" t="s">
        <v>2462</v>
      </c>
      <c r="AD89" s="151" t="s">
        <v>2680</v>
      </c>
      <c r="AE89" s="151" t="s">
        <v>2399</v>
      </c>
      <c r="AF89" s="143" t="s">
        <v>986</v>
      </c>
      <c r="AG89" s="146" t="s">
        <v>2984</v>
      </c>
      <c r="AH89" s="151" t="s">
        <v>1019</v>
      </c>
      <c r="AI89" s="146" t="s">
        <v>217</v>
      </c>
      <c r="AJ89" s="151" t="s">
        <v>144</v>
      </c>
      <c r="AK89" s="151"/>
      <c r="AL89" s="57"/>
      <c r="AM89" s="57" t="s">
        <v>1790</v>
      </c>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row>
    <row r="90" spans="1:74" ht="14.1" customHeight="1">
      <c r="A90" s="148"/>
      <c r="B90" s="189" t="s">
        <v>2</v>
      </c>
      <c r="C90" s="189" t="s">
        <v>2</v>
      </c>
      <c r="D90" s="189" t="s">
        <v>2</v>
      </c>
      <c r="E90" s="189" t="s">
        <v>2</v>
      </c>
      <c r="F90" s="189" t="s">
        <v>2</v>
      </c>
      <c r="G90" s="189" t="s">
        <v>2</v>
      </c>
      <c r="H90" s="180" t="s">
        <v>2</v>
      </c>
      <c r="I90" s="189" t="s">
        <v>2</v>
      </c>
      <c r="J90" s="189" t="s">
        <v>2</v>
      </c>
      <c r="K90" s="189" t="s">
        <v>2</v>
      </c>
      <c r="L90" s="189" t="s">
        <v>2</v>
      </c>
      <c r="M90" s="189" t="s">
        <v>2</v>
      </c>
      <c r="N90" s="189" t="s">
        <v>2</v>
      </c>
      <c r="O90" s="189" t="s">
        <v>2</v>
      </c>
      <c r="P90" s="189" t="s">
        <v>2</v>
      </c>
      <c r="Q90" s="189" t="s">
        <v>2</v>
      </c>
      <c r="R90" s="189" t="s">
        <v>2</v>
      </c>
      <c r="S90" s="189" t="s">
        <v>2</v>
      </c>
      <c r="T90" s="165">
        <v>161</v>
      </c>
      <c r="U90" s="166">
        <v>162</v>
      </c>
      <c r="V90" s="193" t="s">
        <v>11</v>
      </c>
      <c r="W90" s="140" t="s">
        <v>1567</v>
      </c>
      <c r="X90" s="193" t="s">
        <v>511</v>
      </c>
      <c r="Y90" s="193" t="s">
        <v>2167</v>
      </c>
      <c r="Z90" s="193" t="s">
        <v>1941</v>
      </c>
      <c r="AA90" s="143" t="s">
        <v>879</v>
      </c>
      <c r="AB90" s="143" t="s">
        <v>1101</v>
      </c>
      <c r="AC90" s="154" t="s">
        <v>3141</v>
      </c>
      <c r="AD90" s="151" t="s">
        <v>2681</v>
      </c>
      <c r="AE90" s="151" t="s">
        <v>2400</v>
      </c>
      <c r="AF90" s="143" t="s">
        <v>987</v>
      </c>
      <c r="AG90" s="146" t="s">
        <v>2985</v>
      </c>
      <c r="AH90" s="151" t="s">
        <v>1020</v>
      </c>
      <c r="AI90" s="146" t="s">
        <v>215</v>
      </c>
      <c r="AJ90" s="151" t="s">
        <v>145</v>
      </c>
      <c r="AK90" s="151"/>
      <c r="AL90" s="57"/>
      <c r="AM90" s="57" t="s">
        <v>1791</v>
      </c>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row>
    <row r="91" spans="1:74" ht="14.1" customHeight="1">
      <c r="A91" s="148"/>
      <c r="B91" s="151" t="s">
        <v>1574</v>
      </c>
      <c r="C91" s="146" t="s">
        <v>1852</v>
      </c>
      <c r="D91" s="146" t="s">
        <v>1896</v>
      </c>
      <c r="E91" s="146" t="s">
        <v>1934</v>
      </c>
      <c r="F91" s="151" t="s">
        <v>802</v>
      </c>
      <c r="G91" s="151" t="s">
        <v>1066</v>
      </c>
      <c r="H91" s="182" t="s">
        <v>2407</v>
      </c>
      <c r="I91" s="146" t="s">
        <v>2715</v>
      </c>
      <c r="J91" s="146" t="s">
        <v>2390</v>
      </c>
      <c r="K91" s="146" t="s">
        <v>937</v>
      </c>
      <c r="L91" s="146" t="s">
        <v>2929</v>
      </c>
      <c r="M91" s="151" t="s">
        <v>737</v>
      </c>
      <c r="N91" s="146" t="s">
        <v>191</v>
      </c>
      <c r="O91" s="151" t="s">
        <v>121</v>
      </c>
      <c r="P91" s="151"/>
      <c r="Q91" s="151" t="s">
        <v>1800</v>
      </c>
      <c r="R91" s="151" t="s">
        <v>1800</v>
      </c>
      <c r="S91" s="146" t="s">
        <v>10</v>
      </c>
      <c r="T91" s="167">
        <v>163</v>
      </c>
      <c r="U91" s="168">
        <v>164</v>
      </c>
      <c r="V91" s="146" t="s">
        <v>10</v>
      </c>
      <c r="W91" s="151" t="s">
        <v>1560</v>
      </c>
      <c r="X91" s="146" t="s">
        <v>2060</v>
      </c>
      <c r="Y91" s="146" t="s">
        <v>2168</v>
      </c>
      <c r="Z91" s="146" t="s">
        <v>1882</v>
      </c>
      <c r="AA91" s="151" t="s">
        <v>880</v>
      </c>
      <c r="AB91" s="151" t="s">
        <v>1064</v>
      </c>
      <c r="AC91" s="154" t="s">
        <v>2463</v>
      </c>
      <c r="AD91" s="151" t="s">
        <v>2684</v>
      </c>
      <c r="AE91" s="151" t="s">
        <v>2407</v>
      </c>
      <c r="AF91" s="151" t="s">
        <v>992</v>
      </c>
      <c r="AG91" s="146" t="s">
        <v>2986</v>
      </c>
      <c r="AH91" s="151" t="s">
        <v>1013</v>
      </c>
      <c r="AI91" s="146" t="s">
        <v>216</v>
      </c>
      <c r="AJ91" s="151" t="s">
        <v>142</v>
      </c>
      <c r="AK91" s="151"/>
      <c r="AL91" s="57"/>
      <c r="AM91" s="57" t="s">
        <v>1792</v>
      </c>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row>
    <row r="92" spans="1:74" ht="14.1" customHeight="1">
      <c r="A92" s="148"/>
      <c r="B92" s="151" t="s">
        <v>1573</v>
      </c>
      <c r="C92" s="146" t="s">
        <v>1853</v>
      </c>
      <c r="D92" s="146" t="s">
        <v>1897</v>
      </c>
      <c r="E92" s="146" t="s">
        <v>1935</v>
      </c>
      <c r="F92" s="151" t="s">
        <v>803</v>
      </c>
      <c r="G92" s="151" t="s">
        <v>1067</v>
      </c>
      <c r="H92" s="182" t="s">
        <v>2408</v>
      </c>
      <c r="I92" s="146" t="s">
        <v>2716</v>
      </c>
      <c r="J92" s="146" t="s">
        <v>2391</v>
      </c>
      <c r="K92" s="146" t="s">
        <v>938</v>
      </c>
      <c r="L92" s="146" t="s">
        <v>2930</v>
      </c>
      <c r="M92" s="151" t="s">
        <v>740</v>
      </c>
      <c r="N92" s="146" t="s">
        <v>193</v>
      </c>
      <c r="O92" s="151" t="s">
        <v>123</v>
      </c>
      <c r="P92" s="151"/>
      <c r="Q92" s="151" t="s">
        <v>1801</v>
      </c>
      <c r="R92" s="151" t="s">
        <v>1801</v>
      </c>
      <c r="S92" s="146" t="s">
        <v>11</v>
      </c>
      <c r="T92" s="167">
        <v>165</v>
      </c>
      <c r="U92" s="168">
        <v>166</v>
      </c>
      <c r="V92" s="146" t="s">
        <v>11</v>
      </c>
      <c r="W92" s="151" t="s">
        <v>1559</v>
      </c>
      <c r="X92" s="146" t="s">
        <v>512</v>
      </c>
      <c r="Y92" s="146" t="s">
        <v>2169</v>
      </c>
      <c r="Z92" s="146" t="s">
        <v>1883</v>
      </c>
      <c r="AA92" s="151" t="s">
        <v>881</v>
      </c>
      <c r="AB92" s="151" t="s">
        <v>1065</v>
      </c>
      <c r="AC92" s="154" t="s">
        <v>2464</v>
      </c>
      <c r="AD92" s="151" t="s">
        <v>2685</v>
      </c>
      <c r="AE92" s="151" t="s">
        <v>2408</v>
      </c>
      <c r="AF92" s="151" t="s">
        <v>993</v>
      </c>
      <c r="AG92" s="146" t="s">
        <v>2987</v>
      </c>
      <c r="AH92" s="151" t="s">
        <v>1014</v>
      </c>
      <c r="AI92" s="146" t="s">
        <v>218</v>
      </c>
      <c r="AJ92" s="151" t="s">
        <v>143</v>
      </c>
      <c r="AK92" s="151"/>
      <c r="AL92" s="57"/>
      <c r="AM92" s="57" t="s">
        <v>1793</v>
      </c>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row>
    <row r="93" spans="1:74" ht="14.1" customHeight="1">
      <c r="A93" s="148"/>
      <c r="B93" s="150" t="s">
        <v>2066</v>
      </c>
      <c r="C93" s="138" t="s">
        <v>2</v>
      </c>
      <c r="D93" s="150" t="s">
        <v>5</v>
      </c>
      <c r="E93" s="150" t="s">
        <v>5</v>
      </c>
      <c r="F93" s="150" t="s">
        <v>5</v>
      </c>
      <c r="G93" s="150" t="s">
        <v>5</v>
      </c>
      <c r="H93" s="195" t="s">
        <v>2409</v>
      </c>
      <c r="I93" s="195" t="s">
        <v>2409</v>
      </c>
      <c r="J93" s="160" t="s">
        <v>2409</v>
      </c>
      <c r="K93" s="160" t="s">
        <v>5</v>
      </c>
      <c r="L93" s="160" t="s">
        <v>2409</v>
      </c>
      <c r="M93" s="160" t="s">
        <v>5</v>
      </c>
      <c r="N93" s="161" t="s">
        <v>2</v>
      </c>
      <c r="O93" s="160" t="s">
        <v>804</v>
      </c>
      <c r="P93" s="160" t="s">
        <v>804</v>
      </c>
      <c r="Q93" s="160" t="s">
        <v>804</v>
      </c>
      <c r="R93" s="160" t="s">
        <v>804</v>
      </c>
      <c r="S93" s="160" t="s">
        <v>7</v>
      </c>
      <c r="T93" s="167">
        <v>167</v>
      </c>
      <c r="U93" s="168">
        <v>168</v>
      </c>
      <c r="V93" s="160" t="s">
        <v>7</v>
      </c>
      <c r="W93" s="160" t="s">
        <v>1476</v>
      </c>
      <c r="X93" s="161" t="s">
        <v>2</v>
      </c>
      <c r="Y93" s="160" t="s">
        <v>513</v>
      </c>
      <c r="Z93" s="160" t="s">
        <v>513</v>
      </c>
      <c r="AA93" s="160" t="s">
        <v>882</v>
      </c>
      <c r="AB93" s="160" t="s">
        <v>1213</v>
      </c>
      <c r="AC93" s="157" t="s">
        <v>1476</v>
      </c>
      <c r="AD93" s="150" t="s">
        <v>2748</v>
      </c>
      <c r="AE93" s="150" t="s">
        <v>2748</v>
      </c>
      <c r="AF93" s="150" t="s">
        <v>1375</v>
      </c>
      <c r="AG93" s="150" t="s">
        <v>2748</v>
      </c>
      <c r="AH93" s="150" t="s">
        <v>2770</v>
      </c>
      <c r="AI93" s="138" t="s">
        <v>2</v>
      </c>
      <c r="AJ93" s="150" t="s">
        <v>883</v>
      </c>
      <c r="AK93" s="150" t="s">
        <v>883</v>
      </c>
      <c r="AL93" s="38"/>
      <c r="AM93" s="38" t="s">
        <v>883</v>
      </c>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row>
    <row r="94" spans="1:74">
      <c r="A94" s="25"/>
      <c r="B94" s="90"/>
      <c r="C94" s="89"/>
      <c r="D94" s="90"/>
      <c r="E94" s="90"/>
      <c r="F94" s="90"/>
      <c r="G94" s="90"/>
      <c r="H94" s="90"/>
      <c r="I94" s="90"/>
      <c r="J94" s="90"/>
      <c r="K94" s="90"/>
      <c r="L94" s="90"/>
      <c r="M94" s="90"/>
      <c r="N94" s="90"/>
      <c r="O94" s="90"/>
      <c r="P94" s="90"/>
      <c r="Q94" s="90"/>
      <c r="R94" s="90"/>
      <c r="S94" s="26"/>
      <c r="T94" s="27"/>
      <c r="U94" s="27"/>
      <c r="V94" s="28"/>
      <c r="W94" s="90"/>
      <c r="X94" s="89"/>
      <c r="Y94" s="90"/>
      <c r="Z94" s="90"/>
      <c r="AA94" s="90"/>
      <c r="AB94" s="90"/>
      <c r="AC94" s="90"/>
      <c r="AD94" s="90"/>
      <c r="AE94" s="90"/>
      <c r="AF94" s="90"/>
      <c r="AG94" s="90"/>
      <c r="AH94" s="90"/>
      <c r="AI94" s="90"/>
      <c r="AJ94" s="90"/>
      <c r="AK94" s="90"/>
      <c r="AL94" s="90"/>
      <c r="AM94" s="90"/>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row>
    <row r="95" spans="1:74">
      <c r="A95" s="25"/>
      <c r="B95" s="90"/>
      <c r="C95" s="115"/>
      <c r="D95" s="90"/>
      <c r="E95" s="90"/>
      <c r="F95" s="90"/>
      <c r="G95" s="90"/>
      <c r="H95" s="90"/>
      <c r="I95" s="90"/>
      <c r="J95" s="90"/>
      <c r="K95" s="90"/>
      <c r="L95" s="90"/>
      <c r="M95" s="90"/>
      <c r="N95" s="90"/>
      <c r="O95" s="90"/>
      <c r="P95" s="90"/>
      <c r="Q95" s="90"/>
      <c r="R95" s="90"/>
      <c r="S95" s="26"/>
      <c r="T95" s="27"/>
      <c r="U95" s="29"/>
      <c r="V95" s="28"/>
      <c r="W95" s="90"/>
      <c r="X95" s="89"/>
      <c r="Y95" s="90"/>
      <c r="Z95" s="90"/>
      <c r="AA95" s="90"/>
      <c r="AB95" s="90"/>
      <c r="AC95" s="90"/>
      <c r="AD95" s="90"/>
      <c r="AE95" s="90"/>
      <c r="AF95" s="90"/>
      <c r="AG95" s="90"/>
      <c r="AH95" s="90"/>
      <c r="AI95" s="90"/>
      <c r="AJ95" s="90"/>
      <c r="AK95" s="90"/>
      <c r="AL95" s="90"/>
      <c r="AM95" s="90"/>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row>
    <row r="96" spans="1:74">
      <c r="A96" s="14"/>
      <c r="B96" s="94"/>
      <c r="C96" s="25"/>
      <c r="D96" s="94"/>
      <c r="E96" s="94"/>
      <c r="F96" s="94"/>
      <c r="G96" s="94"/>
      <c r="H96" s="94"/>
      <c r="I96" s="94"/>
      <c r="J96" s="94"/>
      <c r="K96" s="94"/>
      <c r="L96" s="94"/>
      <c r="M96" s="94"/>
      <c r="N96" s="94"/>
      <c r="O96" s="94"/>
      <c r="P96" s="94"/>
      <c r="Q96" s="94"/>
      <c r="R96" s="94"/>
      <c r="S96" s="14"/>
      <c r="T96" s="15"/>
      <c r="U96" s="15"/>
      <c r="V96" s="16"/>
      <c r="W96" s="94"/>
      <c r="X96" s="25"/>
      <c r="Y96" s="94"/>
      <c r="Z96" s="94"/>
      <c r="AA96" s="94"/>
      <c r="AB96" s="94"/>
      <c r="AC96" s="94"/>
      <c r="AD96" s="94"/>
      <c r="AE96" s="94"/>
      <c r="AF96" s="94"/>
      <c r="AG96" s="94"/>
      <c r="AH96" s="94"/>
      <c r="AI96" s="94"/>
      <c r="AJ96" s="94"/>
      <c r="AK96" s="94"/>
      <c r="AL96" s="94"/>
      <c r="AM96" s="9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row>
    <row r="97" spans="1:74">
      <c r="A97" s="14"/>
      <c r="B97" s="94"/>
      <c r="C97" s="25"/>
      <c r="D97" s="94"/>
      <c r="E97" s="94"/>
      <c r="F97" s="94"/>
      <c r="G97" s="94"/>
      <c r="H97" s="94"/>
      <c r="I97" s="94"/>
      <c r="J97" s="94"/>
      <c r="K97" s="94"/>
      <c r="L97" s="94"/>
      <c r="M97" s="94"/>
      <c r="N97" s="94"/>
      <c r="O97" s="94"/>
      <c r="P97" s="94"/>
      <c r="Q97" s="94"/>
      <c r="R97" s="94"/>
      <c r="S97" s="14"/>
      <c r="T97" s="15"/>
      <c r="U97" s="15"/>
      <c r="V97" s="16"/>
      <c r="W97" s="94"/>
      <c r="X97" s="25"/>
      <c r="Y97" s="94"/>
      <c r="Z97" s="94"/>
      <c r="AA97" s="94"/>
      <c r="AB97" s="94"/>
      <c r="AC97" s="94"/>
      <c r="AD97" s="94"/>
      <c r="AE97" s="94"/>
      <c r="AF97" s="94"/>
      <c r="AG97" s="94"/>
      <c r="AH97" s="94"/>
      <c r="AI97" s="94"/>
      <c r="AJ97" s="94"/>
      <c r="AK97" s="94"/>
      <c r="AL97" s="94"/>
      <c r="AM97" s="9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row>
    <row r="98" spans="1:74">
      <c r="A98" s="14"/>
      <c r="B98" s="94"/>
      <c r="C98" s="25"/>
      <c r="D98" s="94"/>
      <c r="E98" s="94"/>
      <c r="F98" s="94"/>
      <c r="G98" s="94"/>
      <c r="H98" s="94"/>
      <c r="I98" s="94"/>
      <c r="J98" s="94"/>
      <c r="K98" s="94"/>
      <c r="L98" s="94"/>
      <c r="M98" s="94"/>
      <c r="N98" s="94"/>
      <c r="O98" s="94"/>
      <c r="P98" s="94"/>
      <c r="Q98" s="94"/>
      <c r="R98" s="94"/>
      <c r="S98" s="14"/>
      <c r="T98" s="15"/>
      <c r="U98" s="15"/>
      <c r="V98" s="16"/>
      <c r="W98" s="94"/>
      <c r="X98" s="25"/>
      <c r="Y98" s="94"/>
      <c r="Z98" s="94"/>
      <c r="AA98" s="94"/>
      <c r="AB98" s="94"/>
      <c r="AC98" s="94"/>
      <c r="AD98" s="94"/>
      <c r="AE98" s="94"/>
      <c r="AF98" s="94"/>
      <c r="AG98" s="94"/>
      <c r="AH98" s="94"/>
      <c r="AI98" s="94"/>
      <c r="AJ98" s="94"/>
      <c r="AK98" s="94"/>
      <c r="AL98" s="94"/>
      <c r="AM98" s="9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row>
    <row r="99" spans="1:74">
      <c r="A99" s="14"/>
      <c r="B99" s="94"/>
      <c r="C99" s="25"/>
      <c r="D99" s="94"/>
      <c r="E99" s="94"/>
      <c r="F99" s="94"/>
      <c r="G99" s="94"/>
      <c r="H99" s="94"/>
      <c r="I99" s="94"/>
      <c r="J99" s="94"/>
      <c r="K99" s="94"/>
      <c r="L99" s="94"/>
      <c r="M99" s="94"/>
      <c r="N99" s="94"/>
      <c r="O99" s="94"/>
      <c r="P99" s="94"/>
      <c r="Q99" s="94"/>
      <c r="R99" s="94"/>
      <c r="S99" s="14"/>
      <c r="T99" s="15"/>
      <c r="U99" s="15"/>
      <c r="V99" s="16"/>
      <c r="W99" s="94"/>
      <c r="X99" s="25"/>
      <c r="Y99" s="94"/>
      <c r="Z99" s="94"/>
      <c r="AA99" s="94"/>
      <c r="AB99" s="94"/>
      <c r="AC99" s="94"/>
      <c r="AD99" s="94"/>
      <c r="AE99" s="94"/>
      <c r="AF99" s="94"/>
      <c r="AG99" s="94"/>
      <c r="AH99" s="94"/>
      <c r="AI99" s="94"/>
      <c r="AJ99" s="94"/>
      <c r="AK99" s="94"/>
      <c r="AL99" s="94"/>
      <c r="AM99" s="9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row>
    <row r="100" spans="1:74">
      <c r="A100" s="14"/>
      <c r="B100" s="94"/>
      <c r="C100" s="25"/>
      <c r="D100" s="94"/>
      <c r="E100" s="94"/>
      <c r="F100" s="94"/>
      <c r="G100" s="94"/>
      <c r="H100" s="94"/>
      <c r="I100" s="94"/>
      <c r="J100" s="94"/>
      <c r="K100" s="94"/>
      <c r="L100" s="94"/>
      <c r="M100" s="94"/>
      <c r="N100" s="94"/>
      <c r="O100" s="94"/>
      <c r="P100" s="94"/>
      <c r="Q100" s="94"/>
      <c r="R100" s="94"/>
      <c r="S100" s="14"/>
      <c r="T100" s="15"/>
      <c r="U100" s="15"/>
      <c r="V100" s="16"/>
      <c r="W100" s="94"/>
      <c r="X100" s="25"/>
      <c r="Y100" s="94"/>
      <c r="Z100" s="94"/>
      <c r="AA100" s="94"/>
      <c r="AB100" s="94"/>
      <c r="AC100" s="94"/>
      <c r="AD100" s="94"/>
      <c r="AE100" s="94"/>
      <c r="AF100" s="94"/>
      <c r="AG100" s="94"/>
      <c r="AH100" s="94"/>
      <c r="AI100" s="94"/>
      <c r="AJ100" s="94"/>
      <c r="AK100" s="94"/>
      <c r="AL100" s="94"/>
      <c r="AM100" s="9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row>
    <row r="101" spans="1:74">
      <c r="A101" s="14"/>
      <c r="B101" s="94"/>
      <c r="C101" s="25"/>
      <c r="D101" s="94"/>
      <c r="E101" s="94"/>
      <c r="F101" s="94"/>
      <c r="G101" s="94"/>
      <c r="H101" s="94"/>
      <c r="I101" s="94"/>
      <c r="J101" s="94"/>
      <c r="K101" s="94"/>
      <c r="L101" s="94"/>
      <c r="M101" s="94"/>
      <c r="N101" s="94"/>
      <c r="O101" s="94"/>
      <c r="P101" s="94"/>
      <c r="Q101" s="94"/>
      <c r="R101" s="94"/>
      <c r="S101" s="14"/>
      <c r="T101" s="15"/>
      <c r="U101" s="15"/>
      <c r="V101" s="16"/>
      <c r="W101" s="94"/>
      <c r="X101" s="25"/>
      <c r="Y101" s="94"/>
      <c r="Z101" s="94"/>
      <c r="AA101" s="94"/>
      <c r="AB101" s="94"/>
      <c r="AC101" s="94"/>
      <c r="AD101" s="94"/>
      <c r="AE101" s="94"/>
      <c r="AF101" s="94"/>
      <c r="AG101" s="94"/>
      <c r="AH101" s="94"/>
      <c r="AI101" s="94"/>
      <c r="AJ101" s="94"/>
      <c r="AK101" s="94"/>
      <c r="AL101" s="94"/>
      <c r="AM101" s="9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row>
    <row r="102" spans="1:74">
      <c r="A102" s="14"/>
      <c r="B102" s="94"/>
      <c r="C102" s="25"/>
      <c r="D102" s="94"/>
      <c r="E102" s="94"/>
      <c r="F102" s="94"/>
      <c r="G102" s="94"/>
      <c r="H102" s="94"/>
      <c r="I102" s="94"/>
      <c r="J102" s="94"/>
      <c r="K102" s="94"/>
      <c r="L102" s="94"/>
      <c r="M102" s="94"/>
      <c r="N102" s="94"/>
      <c r="O102" s="94"/>
      <c r="P102" s="94"/>
      <c r="Q102" s="94"/>
      <c r="R102" s="94"/>
      <c r="S102" s="14"/>
      <c r="T102" s="15"/>
      <c r="U102" s="15"/>
      <c r="V102" s="16"/>
      <c r="W102" s="94"/>
      <c r="X102" s="25"/>
      <c r="Y102" s="94"/>
      <c r="Z102" s="94"/>
      <c r="AA102" s="94"/>
      <c r="AB102" s="94"/>
      <c r="AC102" s="94"/>
      <c r="AD102" s="94"/>
      <c r="AE102" s="94"/>
      <c r="AF102" s="94"/>
      <c r="AG102" s="94"/>
      <c r="AH102" s="94"/>
      <c r="AI102" s="94"/>
      <c r="AJ102" s="94"/>
      <c r="AK102" s="94"/>
      <c r="AL102" s="94"/>
      <c r="AM102" s="9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row>
    <row r="103" spans="1:74">
      <c r="A103" s="14"/>
      <c r="B103" s="94"/>
      <c r="C103" s="25"/>
      <c r="D103" s="94"/>
      <c r="E103" s="94"/>
      <c r="F103" s="94"/>
      <c r="G103" s="94"/>
      <c r="H103" s="94"/>
      <c r="I103" s="94"/>
      <c r="J103" s="94"/>
      <c r="K103" s="94"/>
      <c r="L103" s="94"/>
      <c r="M103" s="94"/>
      <c r="N103" s="94"/>
      <c r="O103" s="94"/>
      <c r="P103" s="94"/>
      <c r="Q103" s="94"/>
      <c r="R103" s="94"/>
      <c r="S103" s="14"/>
      <c r="T103" s="15"/>
      <c r="U103" s="15"/>
      <c r="V103" s="16"/>
      <c r="W103" s="94"/>
      <c r="X103" s="25"/>
      <c r="Y103" s="94"/>
      <c r="Z103" s="94"/>
      <c r="AA103" s="94"/>
      <c r="AB103" s="94"/>
      <c r="AC103" s="94"/>
      <c r="AD103" s="94"/>
      <c r="AE103" s="94"/>
      <c r="AF103" s="94"/>
      <c r="AG103" s="94"/>
      <c r="AH103" s="94"/>
      <c r="AI103" s="94"/>
      <c r="AJ103" s="94"/>
      <c r="AK103" s="94"/>
      <c r="AL103" s="94"/>
      <c r="AM103" s="9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row>
    <row r="104" spans="1:74">
      <c r="A104" s="14"/>
      <c r="B104" s="94"/>
      <c r="C104" s="25"/>
      <c r="D104" s="94"/>
      <c r="E104" s="94"/>
      <c r="F104" s="94"/>
      <c r="G104" s="94"/>
      <c r="H104" s="94"/>
      <c r="I104" s="94"/>
      <c r="J104" s="94"/>
      <c r="K104" s="94"/>
      <c r="L104" s="94"/>
      <c r="M104" s="94"/>
      <c r="N104" s="94"/>
      <c r="O104" s="94"/>
      <c r="P104" s="94"/>
      <c r="Q104" s="94"/>
      <c r="R104" s="94"/>
      <c r="S104" s="14"/>
      <c r="T104" s="15"/>
      <c r="U104" s="15"/>
      <c r="V104" s="16"/>
      <c r="W104" s="94"/>
      <c r="X104" s="25"/>
      <c r="Y104" s="94"/>
      <c r="Z104" s="94"/>
      <c r="AA104" s="94"/>
      <c r="AB104" s="94"/>
      <c r="AC104" s="94"/>
      <c r="AD104" s="94"/>
      <c r="AE104" s="94"/>
      <c r="AF104" s="94"/>
      <c r="AG104" s="94"/>
      <c r="AH104" s="94"/>
      <c r="AI104" s="94"/>
      <c r="AJ104" s="94"/>
      <c r="AK104" s="94"/>
      <c r="AL104" s="94"/>
      <c r="AM104" s="9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row>
    <row r="105" spans="1:74">
      <c r="A105" s="14"/>
      <c r="B105" s="94"/>
      <c r="C105" s="25"/>
      <c r="D105" s="94"/>
      <c r="E105" s="94"/>
      <c r="F105" s="94"/>
      <c r="G105" s="94"/>
      <c r="H105" s="94"/>
      <c r="I105" s="94"/>
      <c r="J105" s="94"/>
      <c r="K105" s="94"/>
      <c r="L105" s="94"/>
      <c r="M105" s="94"/>
      <c r="N105" s="94"/>
      <c r="O105" s="94"/>
      <c r="P105" s="94"/>
      <c r="Q105" s="94"/>
      <c r="R105" s="94"/>
      <c r="S105" s="14"/>
      <c r="T105" s="15"/>
      <c r="U105" s="15"/>
      <c r="V105" s="16"/>
      <c r="W105" s="94"/>
      <c r="X105" s="25"/>
      <c r="Y105" s="94"/>
      <c r="Z105" s="94"/>
      <c r="AA105" s="94"/>
      <c r="AB105" s="94"/>
      <c r="AC105" s="94"/>
      <c r="AD105" s="94"/>
      <c r="AE105" s="94"/>
      <c r="AF105" s="94"/>
      <c r="AG105" s="94"/>
      <c r="AH105" s="94"/>
      <c r="AI105" s="94"/>
      <c r="AJ105" s="94"/>
      <c r="AK105" s="94"/>
      <c r="AL105" s="94"/>
      <c r="AM105" s="9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row>
    <row r="106" spans="1:74">
      <c r="A106" s="14"/>
      <c r="B106" s="94"/>
      <c r="C106" s="25"/>
      <c r="D106" s="94"/>
      <c r="E106" s="94"/>
      <c r="F106" s="94"/>
      <c r="G106" s="94"/>
      <c r="H106" s="94"/>
      <c r="I106" s="94"/>
      <c r="J106" s="94"/>
      <c r="K106" s="94"/>
      <c r="L106" s="94"/>
      <c r="M106" s="94"/>
      <c r="N106" s="94"/>
      <c r="O106" s="94"/>
      <c r="P106" s="94"/>
      <c r="Q106" s="94"/>
      <c r="R106" s="94"/>
      <c r="S106" s="14"/>
      <c r="T106" s="15"/>
      <c r="U106" s="15"/>
      <c r="V106" s="16"/>
      <c r="W106" s="94"/>
      <c r="X106" s="25"/>
      <c r="Y106" s="94"/>
      <c r="Z106" s="94"/>
      <c r="AA106" s="94"/>
      <c r="AB106" s="94"/>
      <c r="AC106" s="94"/>
      <c r="AD106" s="94"/>
      <c r="AE106" s="94"/>
      <c r="AF106" s="94"/>
      <c r="AG106" s="94"/>
      <c r="AH106" s="94"/>
      <c r="AI106" s="94"/>
      <c r="AJ106" s="94"/>
      <c r="AK106" s="94"/>
      <c r="AL106" s="94"/>
      <c r="AM106" s="9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row>
    <row r="107" spans="1:74">
      <c r="A107" s="14"/>
      <c r="B107" s="94"/>
      <c r="C107" s="25"/>
      <c r="D107" s="94"/>
      <c r="E107" s="94"/>
      <c r="F107" s="94"/>
      <c r="G107" s="94"/>
      <c r="H107" s="94"/>
      <c r="I107" s="94"/>
      <c r="J107" s="94"/>
      <c r="K107" s="94"/>
      <c r="L107" s="94"/>
      <c r="M107" s="94"/>
      <c r="N107" s="94"/>
      <c r="O107" s="94"/>
      <c r="P107" s="94"/>
      <c r="Q107" s="94"/>
      <c r="R107" s="94"/>
      <c r="S107" s="14"/>
      <c r="T107" s="15"/>
      <c r="U107" s="15"/>
      <c r="V107" s="16"/>
      <c r="W107" s="94"/>
      <c r="X107" s="25"/>
      <c r="Y107" s="94"/>
      <c r="Z107" s="94"/>
      <c r="AA107" s="94"/>
      <c r="AB107" s="94"/>
      <c r="AC107" s="94"/>
      <c r="AD107" s="94"/>
      <c r="AE107" s="94"/>
      <c r="AF107" s="94"/>
      <c r="AG107" s="94"/>
      <c r="AH107" s="94"/>
      <c r="AI107" s="94"/>
      <c r="AJ107" s="94"/>
      <c r="AK107" s="94"/>
      <c r="AL107" s="94"/>
      <c r="AM107" s="9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row>
    <row r="108" spans="1:74">
      <c r="A108" s="14"/>
      <c r="B108" s="94"/>
      <c r="C108" s="25"/>
      <c r="D108" s="94"/>
      <c r="E108" s="94"/>
      <c r="F108" s="94"/>
      <c r="G108" s="94"/>
      <c r="H108" s="94"/>
      <c r="I108" s="94"/>
      <c r="J108" s="94"/>
      <c r="K108" s="94"/>
      <c r="L108" s="94"/>
      <c r="M108" s="94"/>
      <c r="N108" s="94"/>
      <c r="O108" s="94"/>
      <c r="P108" s="94"/>
      <c r="Q108" s="94"/>
      <c r="R108" s="94"/>
      <c r="S108" s="14"/>
      <c r="T108" s="15"/>
      <c r="U108" s="15"/>
      <c r="V108" s="16"/>
      <c r="W108" s="94"/>
      <c r="X108" s="25"/>
      <c r="Y108" s="94"/>
      <c r="Z108" s="94"/>
      <c r="AA108" s="94"/>
      <c r="AB108" s="94"/>
      <c r="AC108" s="94"/>
      <c r="AD108" s="94"/>
      <c r="AE108" s="94"/>
      <c r="AF108" s="94"/>
      <c r="AG108" s="94"/>
      <c r="AH108" s="94"/>
      <c r="AI108" s="94"/>
      <c r="AJ108" s="94"/>
      <c r="AK108" s="94"/>
      <c r="AL108" s="94"/>
      <c r="AM108" s="9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row>
    <row r="109" spans="1:74">
      <c r="A109" s="14"/>
      <c r="B109" s="94"/>
      <c r="C109" s="25"/>
      <c r="D109" s="94"/>
      <c r="E109" s="94"/>
      <c r="F109" s="94"/>
      <c r="G109" s="94"/>
      <c r="H109" s="94"/>
      <c r="I109" s="94"/>
      <c r="J109" s="94"/>
      <c r="K109" s="94"/>
      <c r="L109" s="94"/>
      <c r="M109" s="94"/>
      <c r="N109" s="94"/>
      <c r="O109" s="94"/>
      <c r="P109" s="94"/>
      <c r="Q109" s="94"/>
      <c r="R109" s="94"/>
      <c r="S109" s="14"/>
      <c r="T109" s="15"/>
      <c r="U109" s="15"/>
      <c r="V109" s="16"/>
      <c r="W109" s="94"/>
      <c r="X109" s="25"/>
      <c r="Y109" s="94"/>
      <c r="Z109" s="94"/>
      <c r="AA109" s="94"/>
      <c r="AB109" s="94"/>
      <c r="AC109" s="94"/>
      <c r="AD109" s="94"/>
      <c r="AE109" s="94"/>
      <c r="AF109" s="94"/>
      <c r="AG109" s="94"/>
      <c r="AH109" s="94"/>
      <c r="AI109" s="94"/>
      <c r="AJ109" s="94"/>
      <c r="AK109" s="94"/>
      <c r="AL109" s="94"/>
      <c r="AM109" s="9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row>
    <row r="110" spans="1:74">
      <c r="A110" s="14"/>
      <c r="B110" s="94"/>
      <c r="C110" s="25"/>
      <c r="D110" s="94"/>
      <c r="E110" s="94"/>
      <c r="F110" s="94"/>
      <c r="G110" s="94"/>
      <c r="H110" s="94"/>
      <c r="I110" s="94"/>
      <c r="J110" s="94"/>
      <c r="K110" s="94"/>
      <c r="L110" s="94"/>
      <c r="M110" s="94"/>
      <c r="N110" s="94"/>
      <c r="O110" s="94"/>
      <c r="P110" s="94"/>
      <c r="Q110" s="94"/>
      <c r="R110" s="94"/>
      <c r="S110" s="14"/>
      <c r="T110" s="15"/>
      <c r="U110" s="15"/>
      <c r="V110" s="16"/>
      <c r="W110" s="94"/>
      <c r="X110" s="25"/>
      <c r="Y110" s="94"/>
      <c r="Z110" s="94"/>
      <c r="AA110" s="94"/>
      <c r="AB110" s="94"/>
      <c r="AC110" s="94"/>
      <c r="AD110" s="94"/>
      <c r="AE110" s="94"/>
      <c r="AF110" s="94"/>
      <c r="AG110" s="94"/>
      <c r="AH110" s="94"/>
      <c r="AI110" s="94"/>
      <c r="AJ110" s="94"/>
      <c r="AK110" s="94"/>
      <c r="AL110" s="94"/>
      <c r="AM110" s="9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row>
    <row r="111" spans="1:74">
      <c r="A111" s="14"/>
      <c r="B111" s="94"/>
      <c r="C111" s="25"/>
      <c r="D111" s="94"/>
      <c r="E111" s="94"/>
      <c r="F111" s="94"/>
      <c r="G111" s="94"/>
      <c r="H111" s="94"/>
      <c r="I111" s="94"/>
      <c r="J111" s="94"/>
      <c r="K111" s="94"/>
      <c r="L111" s="94"/>
      <c r="M111" s="94"/>
      <c r="N111" s="94"/>
      <c r="O111" s="94"/>
      <c r="P111" s="94"/>
      <c r="Q111" s="94"/>
      <c r="R111" s="94"/>
      <c r="S111" s="14"/>
      <c r="T111" s="15"/>
      <c r="U111" s="15"/>
      <c r="V111" s="16"/>
      <c r="W111" s="94"/>
      <c r="X111" s="25"/>
      <c r="Y111" s="94"/>
      <c r="Z111" s="94"/>
      <c r="AA111" s="94"/>
      <c r="AB111" s="94"/>
      <c r="AC111" s="94"/>
      <c r="AD111" s="94"/>
      <c r="AE111" s="94"/>
      <c r="AF111" s="94"/>
      <c r="AG111" s="94"/>
      <c r="AH111" s="94"/>
      <c r="AI111" s="94"/>
      <c r="AJ111" s="94"/>
      <c r="AK111" s="94"/>
      <c r="AL111" s="94"/>
      <c r="AM111" s="9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row>
    <row r="112" spans="1:74">
      <c r="A112" s="14"/>
      <c r="B112" s="94"/>
      <c r="C112" s="25"/>
      <c r="D112" s="94"/>
      <c r="E112" s="94"/>
      <c r="F112" s="94"/>
      <c r="G112" s="94"/>
      <c r="H112" s="94"/>
      <c r="I112" s="94"/>
      <c r="J112" s="94"/>
      <c r="K112" s="94"/>
      <c r="L112" s="94"/>
      <c r="M112" s="94"/>
      <c r="N112" s="94"/>
      <c r="O112" s="94"/>
      <c r="P112" s="94"/>
      <c r="Q112" s="94"/>
      <c r="R112" s="94"/>
      <c r="S112" s="14"/>
      <c r="T112" s="15"/>
      <c r="U112" s="15"/>
      <c r="V112" s="16"/>
      <c r="W112" s="94"/>
      <c r="X112" s="25"/>
      <c r="Y112" s="94"/>
      <c r="Z112" s="94"/>
      <c r="AA112" s="94"/>
      <c r="AB112" s="94"/>
      <c r="AC112" s="94"/>
      <c r="AD112" s="94"/>
      <c r="AE112" s="94"/>
      <c r="AF112" s="94"/>
      <c r="AG112" s="94"/>
      <c r="AH112" s="94"/>
      <c r="AI112" s="94"/>
      <c r="AJ112" s="94"/>
      <c r="AK112" s="94"/>
      <c r="AL112" s="94"/>
      <c r="AM112" s="9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row>
    <row r="113" spans="1:74">
      <c r="A113" s="14"/>
      <c r="B113" s="94"/>
      <c r="C113" s="25"/>
      <c r="D113" s="94"/>
      <c r="E113" s="94"/>
      <c r="F113" s="94"/>
      <c r="G113" s="94"/>
      <c r="H113" s="94"/>
      <c r="I113" s="94"/>
      <c r="J113" s="94"/>
      <c r="K113" s="94"/>
      <c r="L113" s="94"/>
      <c r="M113" s="94"/>
      <c r="N113" s="94"/>
      <c r="O113" s="94"/>
      <c r="P113" s="94"/>
      <c r="Q113" s="94"/>
      <c r="R113" s="94"/>
      <c r="S113" s="14"/>
      <c r="T113" s="15"/>
      <c r="U113" s="15"/>
      <c r="V113" s="16"/>
      <c r="W113" s="94"/>
      <c r="X113" s="25"/>
      <c r="Y113" s="94"/>
      <c r="Z113" s="94"/>
      <c r="AA113" s="94"/>
      <c r="AB113" s="94"/>
      <c r="AC113" s="94"/>
      <c r="AD113" s="94"/>
      <c r="AE113" s="94"/>
      <c r="AF113" s="94"/>
      <c r="AG113" s="94"/>
      <c r="AH113" s="94"/>
      <c r="AI113" s="94"/>
      <c r="AJ113" s="94"/>
      <c r="AK113" s="94"/>
      <c r="AL113" s="94"/>
      <c r="AM113" s="9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row>
    <row r="114" spans="1:74">
      <c r="A114" s="14"/>
      <c r="B114" s="94"/>
      <c r="C114" s="25"/>
      <c r="D114" s="94"/>
      <c r="E114" s="94"/>
      <c r="F114" s="94"/>
      <c r="G114" s="94"/>
      <c r="H114" s="94"/>
      <c r="I114" s="94"/>
      <c r="J114" s="94"/>
      <c r="K114" s="94"/>
      <c r="L114" s="94"/>
      <c r="M114" s="94"/>
      <c r="N114" s="94"/>
      <c r="O114" s="94"/>
      <c r="P114" s="94"/>
      <c r="Q114" s="94"/>
      <c r="R114" s="94"/>
      <c r="S114" s="14"/>
      <c r="T114" s="15"/>
      <c r="U114" s="15"/>
      <c r="V114" s="16"/>
      <c r="W114" s="94"/>
      <c r="X114" s="25"/>
      <c r="Y114" s="94"/>
      <c r="Z114" s="94"/>
      <c r="AA114" s="94"/>
      <c r="AB114" s="94"/>
      <c r="AC114" s="94"/>
      <c r="AD114" s="94"/>
      <c r="AE114" s="94"/>
      <c r="AF114" s="94"/>
      <c r="AG114" s="94"/>
      <c r="AH114" s="94"/>
      <c r="AI114" s="94"/>
      <c r="AJ114" s="94"/>
      <c r="AK114" s="94"/>
      <c r="AL114" s="94"/>
      <c r="AM114" s="9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row>
    <row r="115" spans="1:74">
      <c r="A115" s="14"/>
      <c r="B115" s="94"/>
      <c r="C115" s="25"/>
      <c r="D115" s="94"/>
      <c r="E115" s="94"/>
      <c r="F115" s="94"/>
      <c r="G115" s="94"/>
      <c r="H115" s="94"/>
      <c r="I115" s="94"/>
      <c r="J115" s="94"/>
      <c r="K115" s="94"/>
      <c r="L115" s="94"/>
      <c r="M115" s="94"/>
      <c r="N115" s="94"/>
      <c r="O115" s="94"/>
      <c r="P115" s="94"/>
      <c r="Q115" s="94"/>
      <c r="R115" s="94"/>
      <c r="S115" s="14"/>
      <c r="T115" s="15"/>
      <c r="U115" s="15"/>
      <c r="V115" s="16"/>
      <c r="W115" s="94"/>
      <c r="X115" s="25"/>
      <c r="Y115" s="94"/>
      <c r="Z115" s="94"/>
      <c r="AA115" s="94"/>
      <c r="AB115" s="94"/>
      <c r="AC115" s="94"/>
      <c r="AD115" s="94"/>
      <c r="AE115" s="94"/>
      <c r="AF115" s="94"/>
      <c r="AG115" s="94"/>
      <c r="AH115" s="94"/>
      <c r="AI115" s="94"/>
      <c r="AJ115" s="94"/>
      <c r="AK115" s="94"/>
      <c r="AL115" s="94"/>
      <c r="AM115" s="9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row>
    <row r="116" spans="1:74">
      <c r="A116" s="14"/>
      <c r="B116" s="94"/>
      <c r="C116" s="25"/>
      <c r="D116" s="94"/>
      <c r="E116" s="94"/>
      <c r="F116" s="94"/>
      <c r="G116" s="94"/>
      <c r="H116" s="94"/>
      <c r="I116" s="94"/>
      <c r="J116" s="94"/>
      <c r="K116" s="94"/>
      <c r="L116" s="94"/>
      <c r="M116" s="94"/>
      <c r="N116" s="94"/>
      <c r="O116" s="94"/>
      <c r="P116" s="94"/>
      <c r="Q116" s="94"/>
      <c r="R116" s="94"/>
      <c r="S116" s="14"/>
      <c r="T116" s="15"/>
      <c r="U116" s="15"/>
      <c r="V116" s="16"/>
      <c r="W116" s="94"/>
      <c r="X116" s="25"/>
      <c r="Y116" s="94"/>
      <c r="Z116" s="94"/>
      <c r="AA116" s="94"/>
      <c r="AB116" s="94"/>
      <c r="AC116" s="94"/>
      <c r="AD116" s="94"/>
      <c r="AE116" s="94"/>
      <c r="AF116" s="94"/>
      <c r="AG116" s="94"/>
      <c r="AH116" s="94"/>
      <c r="AI116" s="94"/>
      <c r="AJ116" s="94"/>
      <c r="AK116" s="94"/>
      <c r="AL116" s="94"/>
      <c r="AM116" s="9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row>
    <row r="117" spans="1:74">
      <c r="A117" s="14"/>
      <c r="B117" s="94"/>
      <c r="C117" s="25"/>
      <c r="D117" s="94"/>
      <c r="E117" s="94"/>
      <c r="F117" s="94"/>
      <c r="G117" s="94"/>
      <c r="H117" s="94"/>
      <c r="I117" s="94"/>
      <c r="J117" s="94"/>
      <c r="K117" s="94"/>
      <c r="L117" s="94"/>
      <c r="M117" s="94"/>
      <c r="N117" s="94"/>
      <c r="O117" s="94"/>
      <c r="P117" s="94"/>
      <c r="Q117" s="94"/>
      <c r="R117" s="94"/>
      <c r="S117" s="14"/>
      <c r="T117" s="15"/>
      <c r="U117" s="15"/>
      <c r="V117" s="16"/>
      <c r="W117" s="94"/>
      <c r="X117" s="25"/>
      <c r="Y117" s="94"/>
      <c r="Z117" s="94"/>
      <c r="AA117" s="94"/>
      <c r="AB117" s="94"/>
      <c r="AC117" s="94"/>
      <c r="AD117" s="94"/>
      <c r="AE117" s="94"/>
      <c r="AF117" s="94"/>
      <c r="AG117" s="94"/>
      <c r="AH117" s="94"/>
      <c r="AI117" s="94"/>
      <c r="AJ117" s="94"/>
      <c r="AK117" s="94"/>
      <c r="AL117" s="94"/>
      <c r="AM117" s="9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row>
    <row r="118" spans="1:74">
      <c r="A118" s="14"/>
      <c r="B118" s="94"/>
      <c r="C118" s="25"/>
      <c r="D118" s="94"/>
      <c r="E118" s="94"/>
      <c r="F118" s="94"/>
      <c r="G118" s="94"/>
      <c r="H118" s="94"/>
      <c r="I118" s="94"/>
      <c r="J118" s="94"/>
      <c r="K118" s="94"/>
      <c r="L118" s="94"/>
      <c r="M118" s="94"/>
      <c r="N118" s="94"/>
      <c r="O118" s="94"/>
      <c r="P118" s="94"/>
      <c r="Q118" s="94"/>
      <c r="R118" s="94"/>
      <c r="S118" s="14"/>
      <c r="T118" s="15"/>
      <c r="U118" s="15"/>
      <c r="V118" s="16"/>
      <c r="W118" s="94"/>
      <c r="X118" s="25"/>
      <c r="Y118" s="94"/>
      <c r="Z118" s="94"/>
      <c r="AA118" s="94"/>
      <c r="AB118" s="94"/>
      <c r="AC118" s="94"/>
      <c r="AD118" s="94"/>
      <c r="AE118" s="94"/>
      <c r="AF118" s="94"/>
      <c r="AG118" s="94"/>
      <c r="AH118" s="94"/>
      <c r="AI118" s="94"/>
      <c r="AJ118" s="94"/>
      <c r="AK118" s="94"/>
      <c r="AL118" s="94"/>
      <c r="AM118" s="9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row>
    <row r="119" spans="1:74">
      <c r="A119" s="14"/>
      <c r="B119" s="94"/>
      <c r="C119" s="25"/>
      <c r="D119" s="94"/>
      <c r="E119" s="94"/>
      <c r="F119" s="94"/>
      <c r="G119" s="94"/>
      <c r="H119" s="94"/>
      <c r="I119" s="94"/>
      <c r="J119" s="94"/>
      <c r="K119" s="94"/>
      <c r="L119" s="94"/>
      <c r="M119" s="94"/>
      <c r="N119" s="94"/>
      <c r="O119" s="94"/>
      <c r="P119" s="94"/>
      <c r="Q119" s="94"/>
      <c r="R119" s="94"/>
      <c r="S119" s="14"/>
      <c r="T119" s="15"/>
      <c r="U119" s="15"/>
      <c r="V119" s="16"/>
      <c r="W119" s="94"/>
      <c r="X119" s="25"/>
      <c r="Y119" s="94"/>
      <c r="Z119" s="94"/>
      <c r="AA119" s="94"/>
      <c r="AB119" s="94"/>
      <c r="AC119" s="94"/>
      <c r="AD119" s="94"/>
      <c r="AE119" s="94"/>
      <c r="AF119" s="94"/>
      <c r="AG119" s="94"/>
      <c r="AH119" s="94"/>
      <c r="AI119" s="94"/>
      <c r="AJ119" s="94"/>
      <c r="AK119" s="94"/>
      <c r="AL119" s="94"/>
      <c r="AM119" s="9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row>
    <row r="120" spans="1:74">
      <c r="A120" s="14"/>
      <c r="B120" s="94"/>
      <c r="C120" s="25"/>
      <c r="D120" s="94"/>
      <c r="E120" s="94"/>
      <c r="F120" s="94"/>
      <c r="G120" s="94"/>
      <c r="H120" s="94"/>
      <c r="I120" s="94"/>
      <c r="J120" s="94"/>
      <c r="K120" s="94"/>
      <c r="L120" s="94"/>
      <c r="M120" s="94"/>
      <c r="N120" s="94"/>
      <c r="O120" s="94"/>
      <c r="P120" s="94"/>
      <c r="Q120" s="94"/>
      <c r="R120" s="94"/>
      <c r="S120" s="14"/>
      <c r="T120" s="15"/>
      <c r="U120" s="15"/>
      <c r="V120" s="16"/>
      <c r="W120" s="94"/>
      <c r="X120" s="25"/>
      <c r="Y120" s="94"/>
      <c r="Z120" s="94"/>
      <c r="AA120" s="94"/>
      <c r="AB120" s="94"/>
      <c r="AC120" s="94"/>
      <c r="AD120" s="94"/>
      <c r="AE120" s="94"/>
      <c r="AF120" s="94"/>
      <c r="AG120" s="94"/>
      <c r="AH120" s="94"/>
      <c r="AI120" s="94"/>
      <c r="AJ120" s="94"/>
      <c r="AK120" s="94"/>
      <c r="AL120" s="94"/>
      <c r="AM120" s="9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row>
    <row r="121" spans="1:74">
      <c r="A121" s="14"/>
      <c r="B121" s="94"/>
      <c r="C121" s="25"/>
      <c r="D121" s="94"/>
      <c r="E121" s="94"/>
      <c r="F121" s="94"/>
      <c r="G121" s="94"/>
      <c r="H121" s="94"/>
      <c r="I121" s="94"/>
      <c r="J121" s="94"/>
      <c r="K121" s="94"/>
      <c r="L121" s="94"/>
      <c r="M121" s="94"/>
      <c r="N121" s="94"/>
      <c r="O121" s="94"/>
      <c r="P121" s="94"/>
      <c r="Q121" s="94"/>
      <c r="R121" s="94"/>
      <c r="S121" s="14"/>
      <c r="T121" s="15"/>
      <c r="U121" s="15"/>
      <c r="V121" s="16"/>
      <c r="W121" s="94"/>
      <c r="X121" s="25"/>
      <c r="Y121" s="94"/>
      <c r="Z121" s="94"/>
      <c r="AA121" s="94"/>
      <c r="AB121" s="94"/>
      <c r="AC121" s="94"/>
      <c r="AD121" s="94"/>
      <c r="AE121" s="94"/>
      <c r="AF121" s="94"/>
      <c r="AG121" s="94"/>
      <c r="AH121" s="94"/>
      <c r="AI121" s="94"/>
      <c r="AJ121" s="94"/>
      <c r="AK121" s="94"/>
      <c r="AL121" s="94"/>
      <c r="AM121" s="9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row>
    <row r="122" spans="1:74">
      <c r="A122" s="14"/>
      <c r="B122" s="94"/>
      <c r="C122" s="25"/>
      <c r="D122" s="94"/>
      <c r="E122" s="94"/>
      <c r="F122" s="94"/>
      <c r="G122" s="94"/>
      <c r="H122" s="94"/>
      <c r="I122" s="94"/>
      <c r="J122" s="94"/>
      <c r="K122" s="94"/>
      <c r="L122" s="94"/>
      <c r="M122" s="94"/>
      <c r="N122" s="94"/>
      <c r="O122" s="94"/>
      <c r="P122" s="94"/>
      <c r="Q122" s="94"/>
      <c r="R122" s="94"/>
      <c r="S122" s="14"/>
      <c r="T122" s="15"/>
      <c r="U122" s="15"/>
      <c r="V122" s="16"/>
      <c r="W122" s="94"/>
      <c r="X122" s="25"/>
      <c r="Y122" s="94"/>
      <c r="Z122" s="94"/>
      <c r="AA122" s="94"/>
      <c r="AB122" s="94"/>
      <c r="AC122" s="94"/>
      <c r="AD122" s="94"/>
      <c r="AE122" s="94"/>
      <c r="AF122" s="94"/>
      <c r="AG122" s="94"/>
      <c r="AH122" s="94"/>
      <c r="AI122" s="94"/>
      <c r="AJ122" s="94"/>
      <c r="AK122" s="94"/>
      <c r="AL122" s="94"/>
      <c r="AM122" s="9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row>
    <row r="123" spans="1:74">
      <c r="A123" s="14"/>
      <c r="B123" s="94"/>
      <c r="C123" s="25"/>
      <c r="D123" s="94"/>
      <c r="E123" s="94"/>
      <c r="F123" s="94"/>
      <c r="G123" s="94"/>
      <c r="H123" s="94"/>
      <c r="I123" s="94"/>
      <c r="J123" s="94"/>
      <c r="K123" s="94"/>
      <c r="L123" s="94"/>
      <c r="M123" s="94"/>
      <c r="N123" s="94"/>
      <c r="O123" s="94"/>
      <c r="P123" s="94"/>
      <c r="Q123" s="94"/>
      <c r="R123" s="94"/>
      <c r="S123" s="14"/>
      <c r="T123" s="15"/>
      <c r="U123" s="15"/>
      <c r="V123" s="16"/>
      <c r="W123" s="94"/>
      <c r="X123" s="25"/>
      <c r="Y123" s="94"/>
      <c r="Z123" s="94"/>
      <c r="AA123" s="94"/>
      <c r="AB123" s="94"/>
      <c r="AC123" s="94"/>
      <c r="AD123" s="94"/>
      <c r="AE123" s="94"/>
      <c r="AF123" s="94"/>
      <c r="AG123" s="94"/>
      <c r="AH123" s="94"/>
      <c r="AI123" s="94"/>
      <c r="AJ123" s="94"/>
      <c r="AK123" s="94"/>
      <c r="AL123" s="94"/>
      <c r="AM123" s="9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row>
    <row r="124" spans="1:74">
      <c r="A124" s="14"/>
      <c r="B124" s="94"/>
      <c r="C124" s="25"/>
      <c r="D124" s="94"/>
      <c r="E124" s="94"/>
      <c r="F124" s="94"/>
      <c r="G124" s="94"/>
      <c r="H124" s="94"/>
      <c r="I124" s="94"/>
      <c r="J124" s="94"/>
      <c r="K124" s="94"/>
      <c r="L124" s="94"/>
      <c r="M124" s="94"/>
      <c r="N124" s="94"/>
      <c r="O124" s="94"/>
      <c r="P124" s="94"/>
      <c r="Q124" s="94"/>
      <c r="R124" s="94"/>
      <c r="S124" s="14"/>
      <c r="T124" s="15"/>
      <c r="U124" s="15"/>
      <c r="V124" s="16"/>
      <c r="W124" s="94"/>
      <c r="X124" s="25"/>
      <c r="Y124" s="94"/>
      <c r="Z124" s="94"/>
      <c r="AA124" s="94"/>
      <c r="AB124" s="94"/>
      <c r="AC124" s="94"/>
      <c r="AD124" s="94"/>
      <c r="AE124" s="94"/>
      <c r="AF124" s="94"/>
      <c r="AG124" s="94"/>
      <c r="AH124" s="94"/>
      <c r="AI124" s="94"/>
      <c r="AJ124" s="94"/>
      <c r="AK124" s="94"/>
      <c r="AL124" s="94"/>
      <c r="AM124" s="9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row>
    <row r="125" spans="1:74">
      <c r="A125" s="14"/>
      <c r="B125" s="94"/>
      <c r="C125" s="25"/>
      <c r="D125" s="94"/>
      <c r="E125" s="94"/>
      <c r="F125" s="94"/>
      <c r="G125" s="94"/>
      <c r="H125" s="94"/>
      <c r="I125" s="94"/>
      <c r="J125" s="94"/>
      <c r="K125" s="94"/>
      <c r="L125" s="94"/>
      <c r="M125" s="94"/>
      <c r="N125" s="94"/>
      <c r="O125" s="94"/>
      <c r="P125" s="94"/>
      <c r="Q125" s="94"/>
      <c r="R125" s="94"/>
      <c r="S125" s="14"/>
      <c r="T125" s="15"/>
      <c r="U125" s="15"/>
      <c r="V125" s="16"/>
      <c r="W125" s="94"/>
      <c r="X125" s="25"/>
      <c r="Y125" s="94"/>
      <c r="Z125" s="94"/>
      <c r="AA125" s="94"/>
      <c r="AB125" s="94"/>
      <c r="AC125" s="94"/>
      <c r="AD125" s="94"/>
      <c r="AE125" s="94"/>
      <c r="AF125" s="94"/>
      <c r="AG125" s="94"/>
      <c r="AH125" s="94"/>
      <c r="AI125" s="94"/>
      <c r="AJ125" s="94"/>
      <c r="AK125" s="94"/>
      <c r="AL125" s="94"/>
      <c r="AM125" s="9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row>
    <row r="126" spans="1:74">
      <c r="A126" s="14"/>
      <c r="B126" s="94"/>
      <c r="C126" s="25"/>
      <c r="D126" s="94"/>
      <c r="E126" s="94"/>
      <c r="F126" s="94"/>
      <c r="G126" s="94"/>
      <c r="H126" s="94"/>
      <c r="I126" s="94"/>
      <c r="J126" s="94"/>
      <c r="K126" s="94"/>
      <c r="L126" s="94"/>
      <c r="M126" s="94"/>
      <c r="N126" s="94"/>
      <c r="O126" s="94"/>
      <c r="P126" s="94"/>
      <c r="Q126" s="94"/>
      <c r="R126" s="94"/>
      <c r="S126" s="14"/>
      <c r="T126" s="15"/>
      <c r="U126" s="15"/>
      <c r="V126" s="16"/>
      <c r="W126" s="94"/>
      <c r="X126" s="25"/>
      <c r="Y126" s="94"/>
      <c r="Z126" s="94"/>
      <c r="AA126" s="94"/>
      <c r="AB126" s="94"/>
      <c r="AC126" s="94"/>
      <c r="AD126" s="94"/>
      <c r="AE126" s="94"/>
      <c r="AF126" s="94"/>
      <c r="AG126" s="94"/>
      <c r="AH126" s="94"/>
      <c r="AI126" s="94"/>
      <c r="AJ126" s="94"/>
      <c r="AK126" s="94"/>
      <c r="AL126" s="94"/>
      <c r="AM126" s="9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row>
    <row r="127" spans="1:74">
      <c r="A127" s="14"/>
      <c r="B127" s="94"/>
      <c r="C127" s="25"/>
      <c r="D127" s="94"/>
      <c r="E127" s="94"/>
      <c r="F127" s="94"/>
      <c r="G127" s="94"/>
      <c r="H127" s="94"/>
      <c r="I127" s="94"/>
      <c r="J127" s="94"/>
      <c r="K127" s="94"/>
      <c r="L127" s="94"/>
      <c r="M127" s="94"/>
      <c r="N127" s="94"/>
      <c r="O127" s="94"/>
      <c r="P127" s="94"/>
      <c r="Q127" s="94"/>
      <c r="R127" s="94"/>
      <c r="S127" s="14"/>
      <c r="T127" s="15"/>
      <c r="U127" s="15"/>
      <c r="V127" s="16"/>
      <c r="W127" s="94"/>
      <c r="X127" s="25"/>
      <c r="Y127" s="94"/>
      <c r="Z127" s="94"/>
      <c r="AA127" s="94"/>
      <c r="AB127" s="94"/>
      <c r="AC127" s="94"/>
      <c r="AD127" s="94"/>
      <c r="AE127" s="94"/>
      <c r="AF127" s="94"/>
      <c r="AG127" s="94"/>
      <c r="AH127" s="94"/>
      <c r="AI127" s="94"/>
      <c r="AJ127" s="94"/>
      <c r="AK127" s="94"/>
      <c r="AL127" s="94"/>
      <c r="AM127" s="9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row>
    <row r="128" spans="1:74">
      <c r="A128" s="14"/>
      <c r="B128" s="94"/>
      <c r="C128" s="25"/>
      <c r="D128" s="94"/>
      <c r="E128" s="94"/>
      <c r="F128" s="94"/>
      <c r="G128" s="94"/>
      <c r="H128" s="94"/>
      <c r="I128" s="94"/>
      <c r="J128" s="94"/>
      <c r="K128" s="94"/>
      <c r="L128" s="94"/>
      <c r="M128" s="94"/>
      <c r="N128" s="94"/>
      <c r="O128" s="94"/>
      <c r="P128" s="94"/>
      <c r="Q128" s="94"/>
      <c r="R128" s="94"/>
      <c r="S128" s="14"/>
      <c r="T128" s="15"/>
      <c r="U128" s="15"/>
      <c r="V128" s="16"/>
      <c r="W128" s="94"/>
      <c r="X128" s="25"/>
      <c r="Y128" s="94"/>
      <c r="Z128" s="94"/>
      <c r="AA128" s="94"/>
      <c r="AB128" s="94"/>
      <c r="AC128" s="94"/>
      <c r="AD128" s="94"/>
      <c r="AE128" s="94"/>
      <c r="AF128" s="94"/>
      <c r="AG128" s="94"/>
      <c r="AH128" s="94"/>
      <c r="AI128" s="94"/>
      <c r="AJ128" s="94"/>
      <c r="AK128" s="94"/>
      <c r="AL128" s="94"/>
      <c r="AM128" s="9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row>
    <row r="129" spans="1:74">
      <c r="A129" s="14"/>
      <c r="B129" s="94"/>
      <c r="C129" s="25"/>
      <c r="D129" s="94"/>
      <c r="E129" s="94"/>
      <c r="F129" s="94"/>
      <c r="G129" s="94"/>
      <c r="H129" s="94"/>
      <c r="I129" s="94"/>
      <c r="J129" s="94"/>
      <c r="K129" s="94"/>
      <c r="L129" s="94"/>
      <c r="M129" s="94"/>
      <c r="N129" s="94"/>
      <c r="O129" s="94"/>
      <c r="P129" s="94"/>
      <c r="Q129" s="94"/>
      <c r="R129" s="94"/>
      <c r="S129" s="14"/>
      <c r="T129" s="15"/>
      <c r="U129" s="15"/>
      <c r="V129" s="16"/>
      <c r="W129" s="94"/>
      <c r="X129" s="25"/>
      <c r="Y129" s="94"/>
      <c r="Z129" s="94"/>
      <c r="AA129" s="94"/>
      <c r="AB129" s="94"/>
      <c r="AC129" s="94"/>
      <c r="AD129" s="94"/>
      <c r="AE129" s="94"/>
      <c r="AF129" s="94"/>
      <c r="AG129" s="94"/>
      <c r="AH129" s="94"/>
      <c r="AI129" s="94"/>
      <c r="AJ129" s="94"/>
      <c r="AK129" s="94"/>
      <c r="AL129" s="94"/>
      <c r="AM129" s="9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row>
    <row r="130" spans="1:74">
      <c r="A130" s="14"/>
      <c r="B130" s="94"/>
      <c r="C130" s="25"/>
      <c r="D130" s="94"/>
      <c r="E130" s="94"/>
      <c r="F130" s="94"/>
      <c r="G130" s="94"/>
      <c r="H130" s="94"/>
      <c r="I130" s="94"/>
      <c r="J130" s="94"/>
      <c r="K130" s="94"/>
      <c r="L130" s="94"/>
      <c r="M130" s="94"/>
      <c r="N130" s="94"/>
      <c r="O130" s="94"/>
      <c r="P130" s="94"/>
      <c r="Q130" s="94"/>
      <c r="R130" s="94"/>
      <c r="S130" s="14"/>
      <c r="T130" s="15"/>
      <c r="U130" s="15"/>
      <c r="V130" s="16"/>
      <c r="W130" s="94"/>
      <c r="X130" s="25"/>
      <c r="Y130" s="94"/>
      <c r="Z130" s="94"/>
      <c r="AA130" s="94"/>
      <c r="AB130" s="94"/>
      <c r="AC130" s="94"/>
      <c r="AD130" s="94"/>
      <c r="AE130" s="94"/>
      <c r="AF130" s="94"/>
      <c r="AG130" s="94"/>
      <c r="AH130" s="94"/>
      <c r="AI130" s="94"/>
      <c r="AJ130" s="94"/>
      <c r="AK130" s="94"/>
      <c r="AL130" s="94"/>
      <c r="AM130" s="9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row>
    <row r="131" spans="1:74">
      <c r="A131" s="14"/>
      <c r="B131" s="94"/>
      <c r="C131" s="25"/>
      <c r="D131" s="94"/>
      <c r="E131" s="94"/>
      <c r="F131" s="94"/>
      <c r="G131" s="94"/>
      <c r="H131" s="94"/>
      <c r="I131" s="94"/>
      <c r="J131" s="94"/>
      <c r="K131" s="94"/>
      <c r="L131" s="94"/>
      <c r="M131" s="94"/>
      <c r="N131" s="94"/>
      <c r="O131" s="94"/>
      <c r="P131" s="94"/>
      <c r="Q131" s="94"/>
      <c r="R131" s="94"/>
      <c r="S131" s="14"/>
      <c r="T131" s="15"/>
      <c r="U131" s="15"/>
      <c r="V131" s="16"/>
      <c r="W131" s="94"/>
      <c r="X131" s="25"/>
      <c r="Y131" s="94"/>
      <c r="Z131" s="94"/>
      <c r="AA131" s="94"/>
      <c r="AB131" s="94"/>
      <c r="AC131" s="94"/>
      <c r="AD131" s="94"/>
      <c r="AE131" s="94"/>
      <c r="AF131" s="94"/>
      <c r="AG131" s="94"/>
      <c r="AH131" s="94"/>
      <c r="AI131" s="94"/>
      <c r="AJ131" s="94"/>
      <c r="AK131" s="94"/>
      <c r="AL131" s="94"/>
      <c r="AM131" s="9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row>
    <row r="132" spans="1:74">
      <c r="A132" s="14"/>
      <c r="B132" s="94"/>
      <c r="C132" s="25"/>
      <c r="D132" s="94"/>
      <c r="E132" s="94"/>
      <c r="F132" s="94"/>
      <c r="G132" s="94"/>
      <c r="H132" s="94"/>
      <c r="I132" s="94"/>
      <c r="J132" s="94"/>
      <c r="K132" s="94"/>
      <c r="L132" s="94"/>
      <c r="M132" s="94"/>
      <c r="N132" s="94"/>
      <c r="O132" s="94"/>
      <c r="P132" s="94"/>
      <c r="Q132" s="94"/>
      <c r="R132" s="94"/>
      <c r="S132" s="14"/>
      <c r="T132" s="15"/>
      <c r="U132" s="15"/>
      <c r="V132" s="16"/>
      <c r="W132" s="94"/>
      <c r="X132" s="25"/>
      <c r="Y132" s="94"/>
      <c r="Z132" s="94"/>
      <c r="AA132" s="94"/>
      <c r="AB132" s="94"/>
      <c r="AC132" s="94"/>
      <c r="AD132" s="94"/>
      <c r="AE132" s="94"/>
      <c r="AF132" s="94"/>
      <c r="AG132" s="94"/>
      <c r="AH132" s="94"/>
      <c r="AI132" s="94"/>
      <c r="AJ132" s="94"/>
      <c r="AK132" s="94"/>
      <c r="AL132" s="94"/>
      <c r="AM132" s="9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row>
    <row r="133" spans="1:74">
      <c r="A133" s="14"/>
      <c r="B133" s="94"/>
      <c r="C133" s="25"/>
      <c r="D133" s="94"/>
      <c r="E133" s="94"/>
      <c r="F133" s="94"/>
      <c r="G133" s="94"/>
      <c r="H133" s="94"/>
      <c r="I133" s="94"/>
      <c r="J133" s="94"/>
      <c r="K133" s="94"/>
      <c r="L133" s="94"/>
      <c r="M133" s="94"/>
      <c r="N133" s="94"/>
      <c r="O133" s="94"/>
      <c r="P133" s="94"/>
      <c r="Q133" s="94"/>
      <c r="R133" s="94"/>
      <c r="S133" s="14"/>
      <c r="T133" s="15"/>
      <c r="U133" s="15"/>
      <c r="V133" s="16"/>
      <c r="W133" s="94"/>
      <c r="X133" s="25"/>
      <c r="Y133" s="94"/>
      <c r="Z133" s="94"/>
      <c r="AA133" s="94"/>
      <c r="AB133" s="94"/>
      <c r="AC133" s="94"/>
      <c r="AD133" s="94"/>
      <c r="AE133" s="94"/>
      <c r="AF133" s="94"/>
      <c r="AG133" s="94"/>
      <c r="AH133" s="94"/>
      <c r="AI133" s="94"/>
      <c r="AJ133" s="94"/>
      <c r="AK133" s="94"/>
      <c r="AL133" s="94"/>
      <c r="AM133" s="9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row>
    <row r="134" spans="1:74">
      <c r="A134" s="14"/>
      <c r="B134" s="94"/>
      <c r="C134" s="25"/>
      <c r="D134" s="94"/>
      <c r="E134" s="94"/>
      <c r="F134" s="94"/>
      <c r="G134" s="94"/>
      <c r="H134" s="94"/>
      <c r="I134" s="94"/>
      <c r="J134" s="94"/>
      <c r="K134" s="94"/>
      <c r="L134" s="94"/>
      <c r="M134" s="94"/>
      <c r="N134" s="94"/>
      <c r="O134" s="94"/>
      <c r="P134" s="94"/>
      <c r="Q134" s="94"/>
      <c r="R134" s="94"/>
      <c r="S134" s="14"/>
      <c r="T134" s="15"/>
      <c r="U134" s="15"/>
      <c r="V134" s="16"/>
      <c r="W134" s="94"/>
      <c r="X134" s="25"/>
      <c r="Y134" s="94"/>
      <c r="Z134" s="94"/>
      <c r="AA134" s="94"/>
      <c r="AB134" s="94"/>
      <c r="AC134" s="94"/>
      <c r="AD134" s="94"/>
      <c r="AE134" s="94"/>
      <c r="AF134" s="94"/>
      <c r="AG134" s="94"/>
      <c r="AH134" s="94"/>
      <c r="AI134" s="94"/>
      <c r="AJ134" s="94"/>
      <c r="AK134" s="94"/>
      <c r="AL134" s="94"/>
      <c r="AM134" s="9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row>
    <row r="135" spans="1:74">
      <c r="A135" s="14"/>
      <c r="B135" s="94"/>
      <c r="C135" s="25"/>
      <c r="D135" s="94"/>
      <c r="E135" s="94"/>
      <c r="F135" s="94"/>
      <c r="G135" s="94"/>
      <c r="H135" s="94"/>
      <c r="I135" s="94"/>
      <c r="J135" s="94"/>
      <c r="K135" s="94"/>
      <c r="L135" s="94"/>
      <c r="M135" s="94"/>
      <c r="N135" s="94"/>
      <c r="O135" s="94"/>
      <c r="P135" s="94"/>
      <c r="Q135" s="94"/>
      <c r="R135" s="94"/>
      <c r="S135" s="14"/>
      <c r="T135" s="15"/>
      <c r="U135" s="15"/>
      <c r="V135" s="16"/>
      <c r="W135" s="94"/>
      <c r="X135" s="25"/>
      <c r="Y135" s="94"/>
      <c r="Z135" s="94"/>
      <c r="AA135" s="94"/>
      <c r="AB135" s="94"/>
      <c r="AC135" s="94"/>
      <c r="AD135" s="94"/>
      <c r="AE135" s="94"/>
      <c r="AF135" s="94"/>
      <c r="AG135" s="94"/>
      <c r="AH135" s="94"/>
      <c r="AI135" s="94"/>
      <c r="AJ135" s="94"/>
      <c r="AK135" s="94"/>
      <c r="AL135" s="94"/>
      <c r="AM135" s="9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row>
    <row r="136" spans="1:74">
      <c r="A136" s="14"/>
      <c r="B136" s="94"/>
      <c r="C136" s="25"/>
      <c r="D136" s="94"/>
      <c r="E136" s="94"/>
      <c r="F136" s="94"/>
      <c r="G136" s="94"/>
      <c r="H136" s="94"/>
      <c r="I136" s="94"/>
      <c r="J136" s="94"/>
      <c r="K136" s="94"/>
      <c r="L136" s="94"/>
      <c r="M136" s="94"/>
      <c r="N136" s="94"/>
      <c r="O136" s="94"/>
      <c r="P136" s="94"/>
      <c r="Q136" s="94"/>
      <c r="R136" s="94"/>
      <c r="S136" s="14"/>
      <c r="T136" s="15"/>
      <c r="U136" s="15"/>
      <c r="V136" s="16"/>
      <c r="W136" s="94"/>
      <c r="X136" s="25"/>
      <c r="Y136" s="94"/>
      <c r="Z136" s="94"/>
      <c r="AA136" s="94"/>
      <c r="AB136" s="94"/>
      <c r="AC136" s="94"/>
      <c r="AD136" s="94"/>
      <c r="AE136" s="94"/>
      <c r="AF136" s="94"/>
      <c r="AG136" s="94"/>
      <c r="AH136" s="94"/>
      <c r="AI136" s="94"/>
      <c r="AJ136" s="94"/>
      <c r="AK136" s="94"/>
      <c r="AL136" s="94"/>
      <c r="AM136" s="9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row>
    <row r="137" spans="1:74">
      <c r="A137" s="14"/>
      <c r="B137" s="94"/>
      <c r="C137" s="25"/>
      <c r="D137" s="94"/>
      <c r="E137" s="94"/>
      <c r="F137" s="94"/>
      <c r="G137" s="94"/>
      <c r="H137" s="94"/>
      <c r="I137" s="94"/>
      <c r="J137" s="94"/>
      <c r="K137" s="94"/>
      <c r="L137" s="94"/>
      <c r="M137" s="94"/>
      <c r="N137" s="94"/>
      <c r="O137" s="94"/>
      <c r="P137" s="94"/>
      <c r="Q137" s="94"/>
      <c r="R137" s="94"/>
      <c r="S137" s="14"/>
      <c r="T137" s="15"/>
      <c r="U137" s="15"/>
      <c r="V137" s="16"/>
      <c r="W137" s="94"/>
      <c r="X137" s="25"/>
      <c r="Y137" s="94"/>
      <c r="Z137" s="94"/>
      <c r="AA137" s="94"/>
      <c r="AB137" s="94"/>
      <c r="AC137" s="94"/>
      <c r="AD137" s="94"/>
      <c r="AE137" s="94"/>
      <c r="AF137" s="94"/>
      <c r="AG137" s="94"/>
      <c r="AH137" s="94"/>
      <c r="AI137" s="94"/>
      <c r="AJ137" s="94"/>
      <c r="AK137" s="94"/>
      <c r="AL137" s="94"/>
      <c r="AM137" s="9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row>
    <row r="138" spans="1:74">
      <c r="A138" s="14"/>
      <c r="B138" s="94"/>
      <c r="C138" s="25"/>
      <c r="D138" s="94"/>
      <c r="E138" s="94"/>
      <c r="F138" s="94"/>
      <c r="G138" s="94"/>
      <c r="H138" s="94"/>
      <c r="I138" s="94"/>
      <c r="J138" s="94"/>
      <c r="K138" s="94"/>
      <c r="L138" s="94"/>
      <c r="M138" s="94"/>
      <c r="N138" s="94"/>
      <c r="O138" s="94"/>
      <c r="P138" s="94"/>
      <c r="Q138" s="94"/>
      <c r="R138" s="94"/>
      <c r="S138" s="14"/>
      <c r="T138" s="15"/>
      <c r="U138" s="15"/>
      <c r="V138" s="16"/>
      <c r="W138" s="94"/>
      <c r="X138" s="25"/>
      <c r="Y138" s="94"/>
      <c r="Z138" s="94"/>
      <c r="AA138" s="94"/>
      <c r="AB138" s="94"/>
      <c r="AC138" s="94"/>
      <c r="AD138" s="94"/>
      <c r="AE138" s="94"/>
      <c r="AF138" s="94"/>
      <c r="AG138" s="94"/>
      <c r="AH138" s="94"/>
      <c r="AI138" s="94"/>
      <c r="AJ138" s="94"/>
      <c r="AK138" s="94"/>
      <c r="AL138" s="94"/>
      <c r="AM138" s="9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row>
    <row r="139" spans="1:74">
      <c r="A139" s="14"/>
      <c r="B139" s="94"/>
      <c r="C139" s="25"/>
      <c r="D139" s="94"/>
      <c r="E139" s="94"/>
      <c r="F139" s="94"/>
      <c r="G139" s="94"/>
      <c r="H139" s="94"/>
      <c r="I139" s="94"/>
      <c r="J139" s="94"/>
      <c r="K139" s="94"/>
      <c r="L139" s="94"/>
      <c r="M139" s="94"/>
      <c r="N139" s="94"/>
      <c r="O139" s="94"/>
      <c r="P139" s="94"/>
      <c r="Q139" s="94"/>
      <c r="R139" s="94"/>
      <c r="S139" s="14"/>
      <c r="T139" s="15"/>
      <c r="U139" s="15"/>
      <c r="V139" s="16"/>
      <c r="W139" s="94"/>
      <c r="X139" s="25"/>
      <c r="Y139" s="94"/>
      <c r="Z139" s="94"/>
      <c r="AA139" s="94"/>
      <c r="AB139" s="94"/>
      <c r="AC139" s="94"/>
      <c r="AD139" s="94"/>
      <c r="AE139" s="94"/>
      <c r="AF139" s="94"/>
      <c r="AG139" s="94"/>
      <c r="AH139" s="94"/>
      <c r="AI139" s="94"/>
      <c r="AJ139" s="94"/>
      <c r="AK139" s="94"/>
      <c r="AL139" s="94"/>
      <c r="AM139" s="9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row>
    <row r="140" spans="1:74">
      <c r="A140" s="14"/>
      <c r="B140" s="94"/>
      <c r="C140" s="25"/>
      <c r="D140" s="94"/>
      <c r="E140" s="94"/>
      <c r="F140" s="94"/>
      <c r="G140" s="94"/>
      <c r="H140" s="94"/>
      <c r="I140" s="94"/>
      <c r="J140" s="94"/>
      <c r="K140" s="94"/>
      <c r="L140" s="94"/>
      <c r="M140" s="94"/>
      <c r="N140" s="94"/>
      <c r="O140" s="94"/>
      <c r="P140" s="94"/>
      <c r="Q140" s="94"/>
      <c r="R140" s="94"/>
      <c r="S140" s="14"/>
      <c r="T140" s="15"/>
      <c r="U140" s="15"/>
      <c r="V140" s="16"/>
      <c r="W140" s="94"/>
      <c r="X140" s="25"/>
      <c r="Y140" s="94"/>
      <c r="Z140" s="94"/>
      <c r="AA140" s="94"/>
      <c r="AB140" s="94"/>
      <c r="AC140" s="94"/>
      <c r="AD140" s="94"/>
      <c r="AE140" s="94"/>
      <c r="AF140" s="94"/>
      <c r="AG140" s="94"/>
      <c r="AH140" s="94"/>
      <c r="AI140" s="94"/>
      <c r="AJ140" s="94"/>
      <c r="AK140" s="94"/>
      <c r="AL140" s="94"/>
      <c r="AM140" s="9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row>
    <row r="141" spans="1:74">
      <c r="A141" s="14"/>
      <c r="B141" s="94"/>
      <c r="C141" s="25"/>
      <c r="D141" s="94"/>
      <c r="E141" s="94"/>
      <c r="F141" s="94"/>
      <c r="G141" s="94"/>
      <c r="H141" s="94"/>
      <c r="I141" s="94"/>
      <c r="J141" s="94"/>
      <c r="K141" s="94"/>
      <c r="L141" s="94"/>
      <c r="M141" s="94"/>
      <c r="N141" s="94"/>
      <c r="O141" s="94"/>
      <c r="P141" s="94"/>
      <c r="Q141" s="94"/>
      <c r="R141" s="94"/>
      <c r="S141" s="14"/>
      <c r="T141" s="15"/>
      <c r="U141" s="15"/>
      <c r="V141" s="16"/>
      <c r="W141" s="94"/>
      <c r="X141" s="25"/>
      <c r="Y141" s="94"/>
      <c r="Z141" s="94"/>
      <c r="AA141" s="94"/>
      <c r="AB141" s="94"/>
      <c r="AC141" s="94"/>
      <c r="AD141" s="94"/>
      <c r="AE141" s="94"/>
      <c r="AF141" s="94"/>
      <c r="AG141" s="94"/>
      <c r="AH141" s="94"/>
      <c r="AI141" s="94"/>
      <c r="AJ141" s="94"/>
      <c r="AK141" s="94"/>
      <c r="AL141" s="94"/>
      <c r="AM141" s="9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row>
    <row r="142" spans="1:74">
      <c r="A142" s="14"/>
      <c r="B142" s="94"/>
      <c r="C142" s="25"/>
      <c r="D142" s="94"/>
      <c r="E142" s="94"/>
      <c r="F142" s="94"/>
      <c r="G142" s="94"/>
      <c r="H142" s="94"/>
      <c r="I142" s="94"/>
      <c r="J142" s="94"/>
      <c r="K142" s="94"/>
      <c r="L142" s="94"/>
      <c r="M142" s="94"/>
      <c r="N142" s="94"/>
      <c r="O142" s="94"/>
      <c r="P142" s="94"/>
      <c r="Q142" s="94"/>
      <c r="R142" s="94"/>
      <c r="S142" s="14"/>
      <c r="T142" s="15"/>
      <c r="U142" s="15"/>
      <c r="V142" s="16"/>
      <c r="W142" s="94"/>
      <c r="X142" s="25"/>
      <c r="Y142" s="94"/>
      <c r="Z142" s="94"/>
      <c r="AA142" s="94"/>
      <c r="AB142" s="94"/>
      <c r="AC142" s="94"/>
      <c r="AD142" s="94"/>
      <c r="AE142" s="94"/>
      <c r="AF142" s="94"/>
      <c r="AG142" s="94"/>
      <c r="AH142" s="94"/>
      <c r="AI142" s="94"/>
      <c r="AJ142" s="94"/>
      <c r="AK142" s="94"/>
      <c r="AL142" s="94"/>
      <c r="AM142" s="9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row>
    <row r="143" spans="1:74">
      <c r="A143" s="14"/>
      <c r="B143" s="94"/>
      <c r="C143" s="25"/>
      <c r="D143" s="94"/>
      <c r="E143" s="94"/>
      <c r="F143" s="94"/>
      <c r="G143" s="94"/>
      <c r="H143" s="94"/>
      <c r="I143" s="94"/>
      <c r="J143" s="94"/>
      <c r="K143" s="94"/>
      <c r="L143" s="94"/>
      <c r="M143" s="94"/>
      <c r="N143" s="94"/>
      <c r="O143" s="94"/>
      <c r="P143" s="94"/>
      <c r="Q143" s="94"/>
      <c r="R143" s="94"/>
      <c r="S143" s="14"/>
      <c r="T143" s="15"/>
      <c r="U143" s="15"/>
      <c r="V143" s="16"/>
      <c r="W143" s="94"/>
      <c r="X143" s="25"/>
      <c r="Y143" s="94"/>
      <c r="Z143" s="94"/>
      <c r="AA143" s="94"/>
      <c r="AB143" s="94"/>
      <c r="AC143" s="94"/>
      <c r="AD143" s="94"/>
      <c r="AE143" s="94"/>
      <c r="AF143" s="94"/>
      <c r="AG143" s="94"/>
      <c r="AH143" s="94"/>
      <c r="AI143" s="94"/>
      <c r="AJ143" s="94"/>
      <c r="AK143" s="94"/>
      <c r="AL143" s="94"/>
      <c r="AM143" s="94"/>
      <c r="AN143" s="14"/>
      <c r="AO143" s="14"/>
      <c r="AP143" s="14"/>
      <c r="AQ143" s="14"/>
      <c r="AR143" s="14"/>
      <c r="AS143" s="14"/>
      <c r="AT143" s="14"/>
      <c r="AU143" s="14"/>
      <c r="AV143" s="14"/>
      <c r="AW143" s="14"/>
      <c r="AX143" s="14"/>
      <c r="AY143" s="14"/>
      <c r="AZ143" s="14"/>
      <c r="BA143" s="14"/>
      <c r="BB143" s="14"/>
    </row>
    <row r="144" spans="1:74">
      <c r="A144" s="14"/>
      <c r="B144" s="94"/>
      <c r="C144" s="25"/>
      <c r="D144" s="94"/>
      <c r="E144" s="94"/>
      <c r="F144" s="94"/>
      <c r="G144" s="94"/>
      <c r="H144" s="94"/>
      <c r="I144" s="94"/>
      <c r="J144" s="94"/>
      <c r="K144" s="94"/>
      <c r="L144" s="94"/>
      <c r="M144" s="94"/>
      <c r="N144" s="94"/>
      <c r="O144" s="94"/>
      <c r="P144" s="94"/>
      <c r="Q144" s="94"/>
      <c r="R144" s="94"/>
      <c r="S144" s="14"/>
      <c r="T144" s="15"/>
      <c r="U144" s="15"/>
      <c r="V144" s="16"/>
      <c r="W144" s="94"/>
      <c r="X144" s="25"/>
      <c r="Y144" s="94"/>
      <c r="Z144" s="94"/>
      <c r="AA144" s="94"/>
      <c r="AB144" s="94"/>
      <c r="AC144" s="94"/>
      <c r="AD144" s="94"/>
      <c r="AE144" s="94"/>
      <c r="AF144" s="94"/>
      <c r="AG144" s="94"/>
      <c r="AH144" s="94"/>
      <c r="AI144" s="94"/>
      <c r="AJ144" s="94"/>
      <c r="AK144" s="94"/>
      <c r="AL144" s="94"/>
      <c r="AM144" s="94"/>
      <c r="AN144" s="14"/>
      <c r="AO144" s="14"/>
      <c r="AP144" s="14"/>
      <c r="AQ144" s="14"/>
      <c r="AR144" s="14"/>
      <c r="AS144" s="14"/>
      <c r="AT144" s="14"/>
      <c r="AU144" s="14"/>
      <c r="AV144" s="14"/>
      <c r="AW144" s="14"/>
      <c r="AX144" s="14"/>
      <c r="AY144" s="14"/>
      <c r="AZ144" s="14"/>
      <c r="BA144" s="14"/>
      <c r="BB144" s="14"/>
    </row>
    <row r="145" spans="1:54">
      <c r="A145" s="14"/>
      <c r="B145" s="94"/>
      <c r="C145" s="25"/>
      <c r="D145" s="94"/>
      <c r="E145" s="94"/>
      <c r="F145" s="94"/>
      <c r="G145" s="94"/>
      <c r="H145" s="94"/>
      <c r="I145" s="94"/>
      <c r="J145" s="94"/>
      <c r="K145" s="94"/>
      <c r="L145" s="94"/>
      <c r="M145" s="94"/>
      <c r="N145" s="94"/>
      <c r="O145" s="94"/>
      <c r="P145" s="94"/>
      <c r="Q145" s="94"/>
      <c r="R145" s="94"/>
      <c r="S145" s="14"/>
      <c r="T145" s="15"/>
      <c r="U145" s="15"/>
      <c r="V145" s="16"/>
      <c r="W145" s="94"/>
      <c r="X145" s="25"/>
      <c r="Y145" s="94"/>
      <c r="Z145" s="94"/>
      <c r="AA145" s="94"/>
      <c r="AB145" s="94"/>
      <c r="AC145" s="94"/>
      <c r="AD145" s="94"/>
      <c r="AE145" s="94"/>
      <c r="AF145" s="94"/>
      <c r="AG145" s="94"/>
      <c r="AH145" s="94"/>
      <c r="AI145" s="94"/>
      <c r="AJ145" s="94"/>
      <c r="AK145" s="94"/>
      <c r="AL145" s="94"/>
      <c r="AM145" s="94"/>
      <c r="AN145" s="14"/>
      <c r="AO145" s="14"/>
      <c r="AP145" s="14"/>
      <c r="AQ145" s="14"/>
      <c r="AR145" s="14"/>
      <c r="AS145" s="14"/>
      <c r="AT145" s="14"/>
      <c r="AU145" s="14"/>
      <c r="AV145" s="14"/>
      <c r="AW145" s="14"/>
      <c r="AX145" s="14"/>
      <c r="AY145" s="14"/>
      <c r="AZ145" s="14"/>
      <c r="BA145" s="14"/>
      <c r="BB145" s="14"/>
    </row>
    <row r="146" spans="1:54">
      <c r="A146" s="14"/>
      <c r="B146" s="94"/>
      <c r="C146" s="25"/>
      <c r="D146" s="94"/>
      <c r="E146" s="94"/>
      <c r="F146" s="94"/>
      <c r="G146" s="94"/>
      <c r="H146" s="94"/>
      <c r="I146" s="94"/>
      <c r="J146" s="94"/>
      <c r="K146" s="94"/>
      <c r="L146" s="94"/>
      <c r="M146" s="94"/>
      <c r="N146" s="94"/>
      <c r="O146" s="94"/>
      <c r="P146" s="94"/>
      <c r="Q146" s="94"/>
      <c r="R146" s="94"/>
      <c r="S146" s="14"/>
      <c r="T146" s="15"/>
      <c r="U146" s="15"/>
      <c r="V146" s="16"/>
      <c r="W146" s="94"/>
      <c r="X146" s="25"/>
      <c r="Y146" s="94"/>
      <c r="Z146" s="94"/>
      <c r="AA146" s="94"/>
      <c r="AB146" s="94"/>
      <c r="AC146" s="94"/>
      <c r="AD146" s="94"/>
      <c r="AE146" s="94"/>
      <c r="AF146" s="94"/>
      <c r="AG146" s="94"/>
      <c r="AH146" s="94"/>
      <c r="AI146" s="94"/>
      <c r="AJ146" s="94"/>
      <c r="AK146" s="94"/>
      <c r="AL146" s="94"/>
      <c r="AM146" s="94"/>
      <c r="AN146" s="14"/>
      <c r="AO146" s="14"/>
      <c r="AP146" s="14"/>
      <c r="AQ146" s="14"/>
      <c r="AR146" s="14"/>
      <c r="AS146" s="14"/>
      <c r="AT146" s="14"/>
      <c r="AU146" s="14"/>
      <c r="AV146" s="14"/>
      <c r="AW146" s="14"/>
      <c r="AX146" s="14"/>
      <c r="AY146" s="14"/>
      <c r="AZ146" s="14"/>
      <c r="BA146" s="14"/>
      <c r="BB146" s="14"/>
    </row>
    <row r="147" spans="1:54">
      <c r="A147" s="14"/>
      <c r="B147" s="94"/>
      <c r="C147" s="25"/>
      <c r="D147" s="94"/>
      <c r="E147" s="94"/>
      <c r="F147" s="94"/>
      <c r="G147" s="94"/>
      <c r="H147" s="94"/>
      <c r="I147" s="94"/>
      <c r="J147" s="94"/>
      <c r="K147" s="94"/>
      <c r="L147" s="94"/>
      <c r="M147" s="94"/>
      <c r="N147" s="94"/>
      <c r="O147" s="94"/>
      <c r="P147" s="94"/>
      <c r="Q147" s="94"/>
      <c r="R147" s="94"/>
      <c r="S147" s="14"/>
      <c r="T147" s="15"/>
      <c r="U147" s="15"/>
      <c r="V147" s="16"/>
      <c r="W147" s="94"/>
      <c r="X147" s="25"/>
      <c r="Y147" s="94"/>
      <c r="Z147" s="94"/>
      <c r="AA147" s="94"/>
      <c r="AB147" s="94"/>
      <c r="AC147" s="94"/>
      <c r="AD147" s="94"/>
      <c r="AE147" s="94"/>
      <c r="AF147" s="94"/>
      <c r="AG147" s="94"/>
      <c r="AH147" s="94"/>
      <c r="AI147" s="94"/>
      <c r="AJ147" s="94"/>
      <c r="AK147" s="94"/>
      <c r="AL147" s="94"/>
      <c r="AM147" s="94"/>
      <c r="AN147" s="14"/>
      <c r="AO147" s="14"/>
      <c r="AP147" s="14"/>
      <c r="AQ147" s="14"/>
      <c r="AR147" s="14"/>
      <c r="AS147" s="14"/>
      <c r="AT147" s="14"/>
      <c r="AU147" s="14"/>
      <c r="AV147" s="14"/>
      <c r="AW147" s="14"/>
      <c r="AX147" s="14"/>
      <c r="AY147" s="14"/>
      <c r="AZ147" s="14"/>
      <c r="BA147" s="14"/>
      <c r="BB147" s="14"/>
    </row>
    <row r="148" spans="1:54">
      <c r="A148" s="14"/>
      <c r="B148" s="94"/>
      <c r="C148" s="25"/>
      <c r="D148" s="94"/>
      <c r="E148" s="94"/>
      <c r="F148" s="94"/>
      <c r="G148" s="94"/>
      <c r="H148" s="94"/>
      <c r="I148" s="94"/>
      <c r="J148" s="94"/>
      <c r="K148" s="94"/>
      <c r="L148" s="94"/>
      <c r="M148" s="94"/>
      <c r="N148" s="94"/>
      <c r="O148" s="94"/>
      <c r="P148" s="94"/>
      <c r="Q148" s="94"/>
      <c r="R148" s="94"/>
      <c r="S148" s="14"/>
      <c r="T148" s="15"/>
      <c r="U148" s="15"/>
      <c r="V148" s="16"/>
      <c r="W148" s="94"/>
      <c r="X148" s="25"/>
      <c r="Y148" s="94"/>
      <c r="Z148" s="94"/>
      <c r="AA148" s="94"/>
      <c r="AB148" s="94"/>
      <c r="AC148" s="94"/>
      <c r="AD148" s="94"/>
      <c r="AE148" s="94"/>
      <c r="AF148" s="94"/>
      <c r="AG148" s="94"/>
      <c r="AH148" s="94"/>
      <c r="AI148" s="94"/>
      <c r="AJ148" s="94"/>
      <c r="AK148" s="94"/>
      <c r="AL148" s="94"/>
      <c r="AM148" s="94"/>
      <c r="AN148" s="14"/>
      <c r="AO148" s="14"/>
      <c r="AP148" s="14"/>
      <c r="AQ148" s="14"/>
      <c r="AR148" s="14"/>
      <c r="AS148" s="14"/>
      <c r="AT148" s="14"/>
      <c r="AU148" s="14"/>
      <c r="AV148" s="14"/>
      <c r="AW148" s="14"/>
      <c r="AX148" s="14"/>
      <c r="AY148" s="14"/>
      <c r="AZ148" s="14"/>
      <c r="BA148" s="14"/>
      <c r="BB148" s="14"/>
    </row>
    <row r="149" spans="1:54">
      <c r="A149" s="14"/>
      <c r="B149" s="94"/>
      <c r="C149" s="25"/>
      <c r="D149" s="94"/>
      <c r="E149" s="94"/>
      <c r="F149" s="94"/>
      <c r="G149" s="94"/>
      <c r="H149" s="94"/>
      <c r="I149" s="94"/>
      <c r="J149" s="94"/>
      <c r="K149" s="94"/>
      <c r="L149" s="94"/>
      <c r="M149" s="94"/>
      <c r="N149" s="94"/>
      <c r="O149" s="94"/>
      <c r="P149" s="94"/>
      <c r="Q149" s="94"/>
      <c r="R149" s="94"/>
      <c r="S149" s="14"/>
      <c r="T149" s="15"/>
      <c r="U149" s="15"/>
      <c r="V149" s="16"/>
      <c r="W149" s="94"/>
      <c r="X149" s="25"/>
      <c r="Y149" s="94"/>
      <c r="Z149" s="94"/>
      <c r="AA149" s="94"/>
      <c r="AB149" s="94"/>
      <c r="AC149" s="94"/>
      <c r="AD149" s="94"/>
      <c r="AE149" s="94"/>
      <c r="AF149" s="94"/>
      <c r="AG149" s="94"/>
      <c r="AH149" s="94"/>
      <c r="AI149" s="94"/>
      <c r="AJ149" s="94"/>
      <c r="AK149" s="94"/>
      <c r="AL149" s="94"/>
      <c r="AM149" s="94"/>
      <c r="AN149" s="14"/>
      <c r="AO149" s="14"/>
      <c r="AP149" s="14"/>
      <c r="AQ149" s="14"/>
      <c r="AR149" s="14"/>
      <c r="AS149" s="14"/>
      <c r="AT149" s="14"/>
      <c r="AU149" s="14"/>
      <c r="AV149" s="14"/>
      <c r="AW149" s="14"/>
      <c r="AX149" s="14"/>
      <c r="AY149" s="14"/>
      <c r="AZ149" s="14"/>
      <c r="BA149" s="14"/>
      <c r="BB149" s="14"/>
    </row>
    <row r="150" spans="1:54">
      <c r="A150" s="14"/>
      <c r="B150" s="94"/>
      <c r="C150" s="25"/>
      <c r="D150" s="94"/>
      <c r="E150" s="94"/>
      <c r="F150" s="94"/>
      <c r="G150" s="94"/>
      <c r="H150" s="94"/>
      <c r="I150" s="94"/>
      <c r="J150" s="94"/>
      <c r="K150" s="94"/>
      <c r="L150" s="94"/>
      <c r="M150" s="94"/>
      <c r="N150" s="94"/>
      <c r="O150" s="94"/>
      <c r="P150" s="94"/>
      <c r="Q150" s="94"/>
      <c r="R150" s="94"/>
      <c r="S150" s="14"/>
      <c r="T150" s="15"/>
      <c r="U150" s="15"/>
      <c r="V150" s="16"/>
      <c r="W150" s="94"/>
      <c r="X150" s="25"/>
      <c r="Y150" s="94"/>
      <c r="Z150" s="94"/>
      <c r="AA150" s="94"/>
      <c r="AB150" s="94"/>
      <c r="AC150" s="94"/>
      <c r="AD150" s="94"/>
      <c r="AE150" s="94"/>
      <c r="AF150" s="94"/>
      <c r="AG150" s="94"/>
      <c r="AH150" s="94"/>
      <c r="AI150" s="94"/>
      <c r="AJ150" s="94"/>
      <c r="AK150" s="94"/>
      <c r="AL150" s="94"/>
      <c r="AM150" s="94"/>
      <c r="AN150" s="14"/>
      <c r="AO150" s="14"/>
      <c r="AP150" s="14"/>
      <c r="AQ150" s="14"/>
      <c r="AR150" s="14"/>
      <c r="AS150" s="14"/>
      <c r="AT150" s="14"/>
      <c r="AU150" s="14"/>
      <c r="AV150" s="14"/>
      <c r="AW150" s="14"/>
      <c r="AX150" s="14"/>
      <c r="AY150" s="14"/>
      <c r="AZ150" s="14"/>
      <c r="BA150" s="14"/>
      <c r="BB150" s="14"/>
    </row>
  </sheetData>
  <sheetProtection algorithmName="SHA-512" hashValue="eTRP/n78SiCcx/1YAmMFbEunkUP5dhmp+MTkFaL5DPFFiju9oCEefHK1YOBwyJJedpCnoiH5tZegTAHohbnUrQ==" saltValue="itaOhPLGDRyoTRjeVN9sJA==" spinCount="100000" sheet="1" objects="1" scenarios="1"/>
  <mergeCells count="3">
    <mergeCell ref="A1:A2"/>
    <mergeCell ref="T1:U8"/>
    <mergeCell ref="A8:A10"/>
  </mergeCells>
  <conditionalFormatting sqref="T10:U93">
    <cfRule type="expression" dxfId="181" priority="103">
      <formula>MOD(ROW(),2)=0</formula>
    </cfRule>
    <cfRule type="expression" dxfId="180" priority="104">
      <formula>MOD(ROW(),2)=1</formula>
    </cfRule>
  </conditionalFormatting>
  <conditionalFormatting sqref="V10:V93 S10:S93">
    <cfRule type="expression" dxfId="179" priority="105">
      <formula>MOD(ROW(),2)=0</formula>
    </cfRule>
    <cfRule type="expression" dxfId="178" priority="106">
      <formula>MOD(ROW(),2)=1</formula>
    </cfRule>
  </conditionalFormatting>
  <conditionalFormatting sqref="W33:W34 W39:W40 W36:W37 W42:W43 W14:W15 W11:W12 B44:B45 B41:B42 B35:B36 B32:B33">
    <cfRule type="expression" dxfId="177" priority="30">
      <formula>MOD(ROW(),2)=0</formula>
    </cfRule>
  </conditionalFormatting>
  <conditionalFormatting sqref="W33:W34 W39:W40 W36:W37 W42:W43 W14:W15 W11:W12 B44:B45 B41:B42 B35:B36 B32:B33">
    <cfRule type="expression" dxfId="176" priority="29">
      <formula>MOD(ROW(),2)=1</formula>
    </cfRule>
  </conditionalFormatting>
  <conditionalFormatting sqref="V10:V93 W35 W38 W41 W44:W93 W16:W32 W13 AM10:AM93 W10:AK10 B10:B31 B34 B37:B40 B43 B46:B93 C10:S14 C38:S49 C32:E37 G15:S37 C67:S78 C50:E66 G50:S66 X39:AK79 X32:Z38 AB11:AK38 C15:C31 E15:E31 C81:S87 C79:C80 E79:S80 C93:S93 C88:C92 E88:S92 X11:X31 Z11:Z31 X85:AK89 X80:X84 Z80:AK84 X93:AK93 X90:X92 Z90:AK92">
    <cfRule type="expression" dxfId="175" priority="107">
      <formula>MOD(ROW(),2)=0</formula>
    </cfRule>
    <cfRule type="expression" dxfId="174" priority="108">
      <formula>MOD(ROW(),2)=1</formula>
    </cfRule>
  </conditionalFormatting>
  <conditionalFormatting sqref="F15:F37">
    <cfRule type="expression" dxfId="173" priority="17">
      <formula>MOD(ROW(),2)=0</formula>
    </cfRule>
    <cfRule type="expression" dxfId="172" priority="18">
      <formula>MOD(ROW(),2)=1</formula>
    </cfRule>
  </conditionalFormatting>
  <conditionalFormatting sqref="F50:F66">
    <cfRule type="expression" dxfId="171" priority="15">
      <formula>MOD(ROW(),2)=0</formula>
    </cfRule>
    <cfRule type="expression" dxfId="170" priority="16">
      <formula>MOD(ROW(),2)=1</formula>
    </cfRule>
  </conditionalFormatting>
  <conditionalFormatting sqref="AA11:AA38">
    <cfRule type="expression" dxfId="169" priority="13">
      <formula>MOD(ROW(),2)=0</formula>
    </cfRule>
    <cfRule type="expression" dxfId="168" priority="14">
      <formula>MOD(ROW(),2)=1</formula>
    </cfRule>
  </conditionalFormatting>
  <conditionalFormatting sqref="D15:D31">
    <cfRule type="expression" dxfId="167" priority="11">
      <formula>MOD(ROW(),2)=0</formula>
    </cfRule>
    <cfRule type="expression" dxfId="166" priority="12">
      <formula>MOD(ROW(),2)=1</formula>
    </cfRule>
  </conditionalFormatting>
  <conditionalFormatting sqref="D79:D80">
    <cfRule type="expression" dxfId="165" priority="9">
      <formula>MOD(ROW(),2)=0</formula>
    </cfRule>
    <cfRule type="expression" dxfId="164" priority="10">
      <formula>MOD(ROW(),2)=1</formula>
    </cfRule>
  </conditionalFormatting>
  <conditionalFormatting sqref="D88:D92">
    <cfRule type="expression" dxfId="163" priority="7">
      <formula>MOD(ROW(),2)=0</formula>
    </cfRule>
    <cfRule type="expression" dxfId="162" priority="8">
      <formula>MOD(ROW(),2)=1</formula>
    </cfRule>
  </conditionalFormatting>
  <conditionalFormatting sqref="Y11:Y31">
    <cfRule type="expression" dxfId="161" priority="5">
      <formula>MOD(ROW(),2)=0</formula>
    </cfRule>
    <cfRule type="expression" dxfId="160" priority="6">
      <formula>MOD(ROW(),2)=1</formula>
    </cfRule>
  </conditionalFormatting>
  <conditionalFormatting sqref="Y80:Y84">
    <cfRule type="expression" dxfId="159" priority="3">
      <formula>MOD(ROW(),2)=0</formula>
    </cfRule>
    <cfRule type="expression" dxfId="158" priority="4">
      <formula>MOD(ROW(),2)=1</formula>
    </cfRule>
  </conditionalFormatting>
  <conditionalFormatting sqref="Y90:Y92">
    <cfRule type="expression" dxfId="157" priority="1">
      <formula>MOD(ROW(),2)=0</formula>
    </cfRule>
    <cfRule type="expression" dxfId="156" priority="2">
      <formula>MOD(ROW(),2)=1</formula>
    </cfRule>
  </conditionalFormatting>
  <pageMargins left="0.19685039370078741" right="0.19685039370078741" top="0.19685039370078741" bottom="0.19685039370078741" header="0.31496062992125984" footer="0"/>
  <pageSetup paperSize="9" scale="44" fitToWidth="2" fitToHeight="0" orientation="portrait" r:id="rId1"/>
  <headerFooter alignWithMargins="0"/>
  <drawing r:id="rId2"/>
  <legacyDrawing r:id="rId3"/>
  <controls>
    <mc:AlternateContent xmlns:mc="http://schemas.openxmlformats.org/markup-compatibility/2006">
      <mc:Choice Requires="x14">
        <control shapeId="3074" r:id="rId4" name="CommandButton_ViewSettings">
          <controlPr autoLine="0" r:id="rId5">
            <anchor moveWithCells="1">
              <from>
                <xdr:col>0</xdr:col>
                <xdr:colOff>495300</xdr:colOff>
                <xdr:row>6</xdr:row>
                <xdr:rowOff>38100</xdr:rowOff>
              </from>
              <to>
                <xdr:col>0</xdr:col>
                <xdr:colOff>1314450</xdr:colOff>
                <xdr:row>7</xdr:row>
                <xdr:rowOff>161925</xdr:rowOff>
              </to>
            </anchor>
          </controlPr>
        </control>
      </mc:Choice>
      <mc:Fallback>
        <control shapeId="3074" r:id="rId4" name="CommandButton_ViewSetting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onnectorCSheet">
    <pageSetUpPr fitToPage="1"/>
  </sheetPr>
  <dimension ref="A1:BV150"/>
  <sheetViews>
    <sheetView showRowColHeaders="0" zoomScale="85" zoomScaleNormal="85" workbookViewId="0">
      <pane xSplit="1" ySplit="9" topLeftCell="B10" activePane="bottomRight" state="frozen"/>
      <selection pane="topRight" activeCell="B1" sqref="B1"/>
      <selection pane="bottomLeft" activeCell="A7" sqref="A7"/>
      <selection pane="bottomRight" activeCell="B10" sqref="B10"/>
    </sheetView>
  </sheetViews>
  <sheetFormatPr defaultColWidth="9.140625" defaultRowHeight="12"/>
  <cols>
    <col min="1" max="1" width="27.85546875" style="1" customWidth="1"/>
    <col min="2" max="2" width="34.140625" style="96" customWidth="1"/>
    <col min="3" max="3" width="16.7109375" style="95" customWidth="1"/>
    <col min="4" max="4" width="17.28515625" style="96" customWidth="1"/>
    <col min="5" max="5" width="26.85546875" style="96" customWidth="1"/>
    <col min="6" max="6" width="21" style="96" customWidth="1"/>
    <col min="7" max="7" width="22.85546875" style="96" customWidth="1"/>
    <col min="8" max="8" width="44.140625" style="96" customWidth="1"/>
    <col min="9" max="9" width="30.7109375" style="96" customWidth="1"/>
    <col min="10" max="10" width="28.7109375" style="96" customWidth="1"/>
    <col min="11" max="11" width="19.42578125" style="96" customWidth="1"/>
    <col min="12" max="12" width="28.7109375" style="96" customWidth="1"/>
    <col min="13" max="13" width="17.85546875" style="96" customWidth="1"/>
    <col min="14" max="14" width="17.28515625" style="96" customWidth="1"/>
    <col min="15" max="15" width="20.28515625" style="96" customWidth="1"/>
    <col min="16" max="16" width="15.85546875" style="96" customWidth="1"/>
    <col min="17" max="17" width="14.140625" style="96" hidden="1" customWidth="1"/>
    <col min="18" max="18" width="16.5703125" style="96" hidden="1" customWidth="1"/>
    <col min="19" max="19" width="17.85546875" style="1" customWidth="1"/>
    <col min="20" max="21" width="8.7109375" style="3" customWidth="1"/>
    <col min="22" max="22" width="17.85546875" style="2" customWidth="1"/>
    <col min="23" max="23" width="33.7109375" style="96" customWidth="1"/>
    <col min="24" max="24" width="16.7109375" style="92" customWidth="1"/>
    <col min="25" max="25" width="17.28515625" style="96" customWidth="1"/>
    <col min="26" max="26" width="31.85546875" style="96" customWidth="1"/>
    <col min="27" max="27" width="21" style="96" customWidth="1"/>
    <col min="28" max="28" width="28.7109375" style="96" customWidth="1"/>
    <col min="29" max="29" width="45.7109375" style="96" customWidth="1"/>
    <col min="30" max="30" width="30.7109375" style="96" customWidth="1"/>
    <col min="31" max="31" width="28.7109375" style="96" customWidth="1"/>
    <col min="32" max="32" width="19.42578125" style="96" customWidth="1"/>
    <col min="33" max="33" width="30.7109375" style="96" customWidth="1"/>
    <col min="34" max="34" width="17.85546875" style="96" customWidth="1"/>
    <col min="35" max="35" width="17.28515625" style="96" customWidth="1"/>
    <col min="36" max="36" width="20.28515625" style="96" customWidth="1"/>
    <col min="37" max="37" width="21.140625" style="96" customWidth="1"/>
    <col min="38" max="38" width="25.140625" style="96" customWidth="1"/>
    <col min="39" max="39" width="25.42578125" style="97" hidden="1" customWidth="1"/>
    <col min="40" max="40" width="25.42578125" style="1" customWidth="1"/>
    <col min="41" max="43" width="9.140625" style="1" customWidth="1"/>
    <col min="44" max="16384" width="9.140625" style="1"/>
  </cols>
  <sheetData>
    <row r="1" spans="1:74" ht="24.95" customHeight="1">
      <c r="A1" s="228" t="s">
        <v>1060</v>
      </c>
      <c r="B1" s="18" t="str">
        <f>IF('Connector A'!B1&lt;&gt;"",'Connector A'!B1,"")</f>
        <v>Mercury+ AA1</v>
      </c>
      <c r="C1" s="107" t="str">
        <f>IF('Connector A'!C1&lt;&gt;"",'Connector A'!C1,"")</f>
        <v>Mercury CA1</v>
      </c>
      <c r="D1" s="107" t="str">
        <f>IF('Connector A'!D1&lt;&gt;"",'Connector A'!D1,"")</f>
        <v>Mercury KX1</v>
      </c>
      <c r="E1" s="18" t="str">
        <f>IF('Connector A'!E1&lt;&gt;"",'Connector A'!E1,"")</f>
        <v>Mercury+ KX2</v>
      </c>
      <c r="F1" s="107" t="str">
        <f>IF('Connector A'!F1&lt;&gt;"",'Connector A'!F1,"")</f>
        <v>Mercury SA1</v>
      </c>
      <c r="G1" s="18" t="str">
        <f>IF('Connector A'!G1&lt;&gt;"",'Connector A'!G1,"")</f>
        <v>Mercury+ SA2</v>
      </c>
      <c r="H1" s="18" t="str">
        <f>IF('Connector A'!H1&lt;&gt;"",'Connector A'!H1,"")</f>
        <v>Mercury+ XU1</v>
      </c>
      <c r="I1" s="107" t="str">
        <f>IF('Connector A'!I1&lt;&gt;"",'Connector A'!I1,"")</f>
        <v>Mercury XU5</v>
      </c>
      <c r="J1" s="18" t="str">
        <f>IF('Connector A'!J1&lt;&gt;"",'Connector A'!J1,"")</f>
        <v>Mercury+ XU7</v>
      </c>
      <c r="K1" s="107" t="str">
        <f>IF('Connector A'!K1&lt;&gt;"",'Connector A'!K1,"")</f>
        <v>Mercury ZX1</v>
      </c>
      <c r="L1" s="18" t="str">
        <f>IF('Connector A'!L1&lt;&gt;"",'Connector A'!L1,"")</f>
        <v>Mercury+ XU8</v>
      </c>
      <c r="M1" s="107" t="str">
        <f>IF('Connector A'!M1&lt;&gt;"",'Connector A'!M1,"")</f>
        <v>Mercury ZX5</v>
      </c>
      <c r="N1" s="107" t="str">
        <f>IF('Connector A'!N1&lt;&gt;"",'Connector A'!N1,"")</f>
        <v>Mercury Starter</v>
      </c>
      <c r="O1" s="18" t="str">
        <f>IF('Connector A'!O1&lt;&gt;"",'Connector A'!O1,"")</f>
        <v xml:space="preserve">Mercury+ PE1 </v>
      </c>
      <c r="P1" s="18" t="str">
        <f>IF('Connector A'!P1&lt;&gt;"",'Connector A'!P1,"")</f>
        <v>Mercury+ EV2</v>
      </c>
      <c r="Q1" s="107" t="str">
        <f>IF('Connector A'!Q1&lt;&gt;"",'Connector A'!Q1,"")</f>
        <v>Mercury EV2</v>
      </c>
      <c r="R1" s="18" t="str">
        <f>IF('Connector A'!R1&lt;&gt;"",'Connector A'!R1,"")</f>
        <v>Mercury+ EV3</v>
      </c>
      <c r="S1" s="79" t="str">
        <f>'Connector A'!S1</f>
        <v>Product Name</v>
      </c>
      <c r="T1" s="231" t="s">
        <v>1057</v>
      </c>
      <c r="U1" s="231"/>
      <c r="V1" s="79" t="str">
        <f t="shared" ref="V1:V8" si="0">IF(S1&lt;&gt;"",S1,"")</f>
        <v>Product Name</v>
      </c>
      <c r="W1" s="18" t="str">
        <f t="shared" ref="W1:W8" si="1">IF(B1&lt;&gt;"",B1,"")</f>
        <v>Mercury+ AA1</v>
      </c>
      <c r="X1" s="105" t="str">
        <f t="shared" ref="X1:Y8" si="2">IF(C1&lt;&gt;"",C1,"")</f>
        <v>Mercury CA1</v>
      </c>
      <c r="Y1" s="105" t="str">
        <f t="shared" si="2"/>
        <v>Mercury KX1</v>
      </c>
      <c r="Z1" s="18" t="str">
        <f t="shared" ref="Z1:AH8" si="3">IF(E1&lt;&gt;"",E1,"")</f>
        <v>Mercury+ KX2</v>
      </c>
      <c r="AA1" s="105" t="str">
        <f t="shared" si="3"/>
        <v>Mercury SA1</v>
      </c>
      <c r="AB1" s="18" t="str">
        <f t="shared" si="3"/>
        <v>Mercury+ SA2</v>
      </c>
      <c r="AC1" s="18" t="str">
        <f t="shared" si="3"/>
        <v>Mercury+ XU1</v>
      </c>
      <c r="AD1" s="107" t="str">
        <f t="shared" si="3"/>
        <v>Mercury XU5</v>
      </c>
      <c r="AE1" s="18" t="str">
        <f t="shared" si="3"/>
        <v>Mercury+ XU7</v>
      </c>
      <c r="AF1" s="107" t="str">
        <f t="shared" si="3"/>
        <v>Mercury ZX1</v>
      </c>
      <c r="AG1" s="18" t="str">
        <f t="shared" si="3"/>
        <v>Mercury+ XU8</v>
      </c>
      <c r="AH1" s="107" t="str">
        <f t="shared" si="3"/>
        <v>Mercury ZX5</v>
      </c>
      <c r="AI1" s="107" t="str">
        <f t="shared" ref="AI1:AI8" si="4">IF(N1&lt;&gt;"",N1,"")</f>
        <v>Mercury Starter</v>
      </c>
      <c r="AJ1" s="18" t="str">
        <f t="shared" ref="AJ1:AK8" si="5">IF(O1&lt;&gt;"",O1,"")</f>
        <v xml:space="preserve">Mercury+ PE1 </v>
      </c>
      <c r="AK1" s="18" t="str">
        <f t="shared" si="5"/>
        <v>Mercury+ EV2</v>
      </c>
      <c r="AL1" s="124"/>
      <c r="AM1" s="121" t="str">
        <f t="shared" ref="AM1:AM8" si="6">IF(R1&lt;&gt;"",R1,"")</f>
        <v>Mercury+ EV3</v>
      </c>
      <c r="AN1" s="24"/>
      <c r="AO1" s="2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row>
    <row r="2" spans="1:74" s="4" customFormat="1" ht="14.1" customHeight="1">
      <c r="A2" s="228"/>
      <c r="B2" s="72" t="str">
        <f>IF('Connector A'!B2&lt;&gt;"",'Connector A'!B2,"")</f>
        <v>Altera</v>
      </c>
      <c r="C2" s="106" t="str">
        <f>IF('Connector A'!C2&lt;&gt;"",'Connector A'!C2,"")</f>
        <v>Altera</v>
      </c>
      <c r="D2" s="106" t="str">
        <f>IF('Connector A'!D2&lt;&gt;"",'Connector A'!D2,"")</f>
        <v>Xilinx</v>
      </c>
      <c r="E2" s="72" t="str">
        <f>IF('Connector A'!E2&lt;&gt;"",'Connector A'!E2,"")</f>
        <v>Xilinx</v>
      </c>
      <c r="F2" s="106" t="str">
        <f>IF('Connector A'!F2&lt;&gt;"",'Connector A'!F2,"")</f>
        <v>Altera</v>
      </c>
      <c r="G2" s="72" t="str">
        <f>IF('Connector A'!G2&lt;&gt;"",'Connector A'!G2,"")</f>
        <v>Altera</v>
      </c>
      <c r="H2" s="72" t="str">
        <f>IF('Connector A'!H2&lt;&gt;"",'Connector A'!H2,"")</f>
        <v>Xilinx</v>
      </c>
      <c r="I2" s="106" t="str">
        <f>IF('Connector A'!I2&lt;&gt;"",'Connector A'!I2,"")</f>
        <v>Xilinx</v>
      </c>
      <c r="J2" s="72" t="str">
        <f>IF('Connector A'!J2&lt;&gt;"",'Connector A'!J2,"")</f>
        <v>Xilinx</v>
      </c>
      <c r="K2" s="106" t="str">
        <f>IF('Connector A'!K2&lt;&gt;"",'Connector A'!K2,"")</f>
        <v>Xilinx</v>
      </c>
      <c r="L2" s="72" t="str">
        <f>IF('Connector A'!L2&lt;&gt;"",'Connector A'!L2,"")</f>
        <v>Xilinx</v>
      </c>
      <c r="M2" s="106" t="str">
        <f>IF('Connector A'!M2&lt;&gt;"",'Connector A'!M2,"")</f>
        <v>Xilinx</v>
      </c>
      <c r="N2" s="106" t="str">
        <f>IF('Connector A'!N2&lt;&gt;"",'Connector A'!N2,"")</f>
        <v/>
      </c>
      <c r="O2" s="72" t="str">
        <f>IF('Connector A'!O2&lt;&gt;"",'Connector A'!O2,"")</f>
        <v>200/300/400</v>
      </c>
      <c r="P2" s="72" t="str">
        <f>IF('Connector A'!P2&lt;&gt;"",'Connector A'!P2,"")</f>
        <v/>
      </c>
      <c r="Q2" s="106" t="str">
        <f>IF('Connector A'!Q2&lt;&gt;"",'Connector A'!Q2,"")</f>
        <v/>
      </c>
      <c r="R2" s="72" t="str">
        <f>IF('Connector A'!R2&lt;&gt;"",'Connector A'!R2,"")</f>
        <v/>
      </c>
      <c r="S2" s="22" t="str">
        <f>'Connector A'!S2</f>
        <v>FPGA vendor</v>
      </c>
      <c r="T2" s="231"/>
      <c r="U2" s="231"/>
      <c r="V2" s="23" t="str">
        <f t="shared" si="0"/>
        <v>FPGA vendor</v>
      </c>
      <c r="W2" s="72" t="str">
        <f t="shared" si="1"/>
        <v>Altera</v>
      </c>
      <c r="X2" s="106" t="str">
        <f t="shared" si="2"/>
        <v>Altera</v>
      </c>
      <c r="Y2" s="106" t="str">
        <f t="shared" si="2"/>
        <v>Xilinx</v>
      </c>
      <c r="Z2" s="72" t="str">
        <f t="shared" si="3"/>
        <v>Xilinx</v>
      </c>
      <c r="AA2" s="106" t="str">
        <f t="shared" si="3"/>
        <v>Altera</v>
      </c>
      <c r="AB2" s="72" t="str">
        <f t="shared" si="3"/>
        <v>Altera</v>
      </c>
      <c r="AC2" s="72" t="str">
        <f t="shared" si="3"/>
        <v>Xilinx</v>
      </c>
      <c r="AD2" s="106" t="str">
        <f t="shared" si="3"/>
        <v>Xilinx</v>
      </c>
      <c r="AE2" s="72" t="str">
        <f t="shared" si="3"/>
        <v>Xilinx</v>
      </c>
      <c r="AF2" s="106" t="str">
        <f t="shared" si="3"/>
        <v>Xilinx</v>
      </c>
      <c r="AG2" s="72" t="str">
        <f t="shared" si="3"/>
        <v>Xilinx</v>
      </c>
      <c r="AH2" s="106" t="str">
        <f t="shared" si="3"/>
        <v>Xilinx</v>
      </c>
      <c r="AI2" s="106" t="str">
        <f t="shared" si="4"/>
        <v/>
      </c>
      <c r="AJ2" s="72" t="str">
        <f t="shared" si="5"/>
        <v>200/300/400</v>
      </c>
      <c r="AK2" s="72" t="str">
        <f t="shared" si="5"/>
        <v/>
      </c>
      <c r="AL2" s="125"/>
      <c r="AM2" s="122" t="str">
        <f t="shared" si="6"/>
        <v/>
      </c>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row>
    <row r="3" spans="1:74" s="4" customFormat="1" ht="14.1" customHeight="1">
      <c r="A3" s="21" t="str">
        <f>'Connector A'!A3</f>
        <v>Date: 26 September 2018</v>
      </c>
      <c r="B3" s="72" t="str">
        <f>IF('Connector A'!B3&lt;&gt;"",'Connector A'!B3,"")</f>
        <v>Arria 10 SoC</v>
      </c>
      <c r="C3" s="106" t="str">
        <f>IF('Connector A'!C3&lt;&gt;"",'Connector A'!C3,"")</f>
        <v>Cyclone IV</v>
      </c>
      <c r="D3" s="106" t="str">
        <f>IF('Connector A'!D3&lt;&gt;"",'Connector A'!D3,"")</f>
        <v>Kintex-7</v>
      </c>
      <c r="E3" s="72" t="str">
        <f>IF('Connector A'!E3&lt;&gt;"",'Connector A'!E3,"")</f>
        <v>Kintex-7</v>
      </c>
      <c r="F3" s="106" t="str">
        <f>IF('Connector A'!F3&lt;&gt;"",'Connector A'!F3,"")</f>
        <v>Cyclone V SoC</v>
      </c>
      <c r="G3" s="72" t="str">
        <f>IF('Connector A'!G3&lt;&gt;"",'Connector A'!G3,"")</f>
        <v>Cyclone V SoC</v>
      </c>
      <c r="H3" s="72" t="str">
        <f>IF('Connector A'!H3&lt;&gt;"",'Connector A'!H3,"")</f>
        <v>Zynq Ultrascale+</v>
      </c>
      <c r="I3" s="106" t="str">
        <f>IF('Connector A'!I3&lt;&gt;"",'Connector A'!I3,"")</f>
        <v>Zynq Ultrascale+</v>
      </c>
      <c r="J3" s="72" t="str">
        <f>IF('Connector A'!J3&lt;&gt;"",'Connector A'!J3,"")</f>
        <v>Zynq Ultrascale+</v>
      </c>
      <c r="K3" s="106" t="str">
        <f>IF('Connector A'!K3&lt;&gt;"",'Connector A'!K3,"")</f>
        <v>Zynq-7000</v>
      </c>
      <c r="L3" s="72" t="str">
        <f>IF('Connector A'!L3&lt;&gt;"",'Connector A'!L3,"")</f>
        <v>Zynq Ultrascale+</v>
      </c>
      <c r="M3" s="106" t="str">
        <f>IF('Connector A'!M3&lt;&gt;"",'Connector A'!M3,"")</f>
        <v>Zynq-7000</v>
      </c>
      <c r="N3" s="106" t="str">
        <f>IF('Connector A'!N3&lt;&gt;"",'Connector A'!N3,"")</f>
        <v/>
      </c>
      <c r="O3" s="72" t="str">
        <f>IF('Connector A'!O3&lt;&gt;"",'Connector A'!O3,"")</f>
        <v/>
      </c>
      <c r="P3" s="72" t="str">
        <f>IF('Connector A'!P3&lt;&gt;"",'Connector A'!P3,"")</f>
        <v/>
      </c>
      <c r="Q3" s="106" t="str">
        <f>IF('Connector A'!Q3&lt;&gt;"",'Connector A'!Q3,"")</f>
        <v/>
      </c>
      <c r="R3" s="72" t="str">
        <f>IF('Connector A'!R3&lt;&gt;"",'Connector A'!R3,"")</f>
        <v/>
      </c>
      <c r="S3" s="22" t="str">
        <f>'Connector A'!S3</f>
        <v>FPGA family</v>
      </c>
      <c r="T3" s="231"/>
      <c r="U3" s="231"/>
      <c r="V3" s="23" t="str">
        <f t="shared" si="0"/>
        <v>FPGA family</v>
      </c>
      <c r="W3" s="72" t="str">
        <f t="shared" si="1"/>
        <v>Arria 10 SoC</v>
      </c>
      <c r="X3" s="106" t="str">
        <f t="shared" si="2"/>
        <v>Cyclone IV</v>
      </c>
      <c r="Y3" s="106" t="str">
        <f t="shared" si="2"/>
        <v>Kintex-7</v>
      </c>
      <c r="Z3" s="72" t="str">
        <f t="shared" si="3"/>
        <v>Kintex-7</v>
      </c>
      <c r="AA3" s="106" t="str">
        <f t="shared" si="3"/>
        <v>Cyclone V SoC</v>
      </c>
      <c r="AB3" s="72" t="str">
        <f t="shared" si="3"/>
        <v>Cyclone V SoC</v>
      </c>
      <c r="AC3" s="72" t="str">
        <f t="shared" si="3"/>
        <v>Zynq Ultrascale+</v>
      </c>
      <c r="AD3" s="106" t="str">
        <f t="shared" si="3"/>
        <v>Zynq Ultrascale+</v>
      </c>
      <c r="AE3" s="72" t="str">
        <f t="shared" si="3"/>
        <v>Zynq Ultrascale+</v>
      </c>
      <c r="AF3" s="106" t="str">
        <f t="shared" si="3"/>
        <v>Zynq-7000</v>
      </c>
      <c r="AG3" s="72" t="str">
        <f t="shared" si="3"/>
        <v>Zynq Ultrascale+</v>
      </c>
      <c r="AH3" s="106" t="str">
        <f t="shared" si="3"/>
        <v>Zynq-7000</v>
      </c>
      <c r="AI3" s="106" t="str">
        <f t="shared" si="4"/>
        <v/>
      </c>
      <c r="AJ3" s="72" t="str">
        <f t="shared" si="5"/>
        <v/>
      </c>
      <c r="AK3" s="72" t="str">
        <f t="shared" si="5"/>
        <v/>
      </c>
      <c r="AL3" s="125"/>
      <c r="AM3" s="122" t="str">
        <f t="shared" si="6"/>
        <v/>
      </c>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row>
    <row r="4" spans="1:74" s="4" customFormat="1" ht="14.1" customHeight="1">
      <c r="A4" s="21"/>
      <c r="B4" s="72" t="str">
        <f>IF('Connector A'!B4&lt;&gt;"",'Connector A'!B4,"")</f>
        <v>SX 270/480</v>
      </c>
      <c r="C4" s="106" t="str">
        <f>IF('Connector A'!C4&lt;&gt;"",'Connector A'!C4,"")</f>
        <v>30/75/115</v>
      </c>
      <c r="D4" s="106" t="str">
        <f>IF('Connector A'!D4&lt;&gt;"",'Connector A'!D4,"")</f>
        <v>160T/325T/410T</v>
      </c>
      <c r="E4" s="72" t="str">
        <f>IF('Connector A'!E4&lt;&gt;"",'Connector A'!E4,"")</f>
        <v>160T/325T/410T</v>
      </c>
      <c r="F4" s="106" t="str">
        <f>IF('Connector A'!F4&lt;&gt;"",'Connector A'!F4,"")</f>
        <v>C5/C6</v>
      </c>
      <c r="G4" s="72" t="str">
        <f>IF('Connector A'!G4&lt;&gt;"",'Connector A'!G4,"")</f>
        <v>C5/D6</v>
      </c>
      <c r="H4" s="72" t="str">
        <f>IF('Connector A'!H4&lt;&gt;"",'Connector A'!H4,"")</f>
        <v>ZU6EG/ZU9EG/ZU15EG</v>
      </c>
      <c r="I4" s="106" t="str">
        <f>IF('Connector A'!I4&lt;&gt;"",'Connector A'!I4,"")</f>
        <v>ZU2EG/ZU3EG/ZU4EV/ZU5EV</v>
      </c>
      <c r="J4" s="72" t="str">
        <f>IF('Connector A'!J4&lt;&gt;"",'Connector A'!J4,"")</f>
        <v>ZU6EG/ZU9EG/ZU15EG</v>
      </c>
      <c r="K4" s="106" t="str">
        <f>IF('Connector A'!K4&lt;&gt;"",'Connector A'!K4,"")</f>
        <v>Z-7030/7035/7045</v>
      </c>
      <c r="L4" s="72" t="str">
        <f>IF('Connector A'!L4&lt;&gt;"",'Connector A'!L4,"")</f>
        <v>ZU4CG/ZU5EV/ZU7EV</v>
      </c>
      <c r="M4" s="106" t="str">
        <f>IF('Connector A'!M4&lt;&gt;"",'Connector A'!M4,"")</f>
        <v>Z-7015/7030</v>
      </c>
      <c r="N4" s="106" t="str">
        <f>IF('Connector A'!N4&lt;&gt;"",'Connector A'!N4,"")</f>
        <v/>
      </c>
      <c r="O4" s="72" t="str">
        <f>IF('Connector A'!O4&lt;&gt;"",'Connector A'!O4,"")</f>
        <v/>
      </c>
      <c r="P4" s="72" t="str">
        <f>IF('Connector A'!P4&lt;&gt;"",'Connector A'!P4,"")</f>
        <v/>
      </c>
      <c r="Q4" s="106" t="str">
        <f>IF('Connector A'!Q4&lt;&gt;"",'Connector A'!Q4,"")</f>
        <v/>
      </c>
      <c r="R4" s="72" t="str">
        <f>IF('Connector A'!R4&lt;&gt;"",'Connector A'!R4,"")</f>
        <v/>
      </c>
      <c r="S4" s="22" t="str">
        <f>'Connector A'!S4</f>
        <v>FPGA device(s)</v>
      </c>
      <c r="T4" s="231"/>
      <c r="U4" s="231"/>
      <c r="V4" s="23" t="str">
        <f t="shared" ref="V4" si="7">IF(S4&lt;&gt;"",S4,"")</f>
        <v>FPGA device(s)</v>
      </c>
      <c r="W4" s="72" t="str">
        <f t="shared" si="1"/>
        <v>SX 270/480</v>
      </c>
      <c r="X4" s="106" t="str">
        <f t="shared" si="2"/>
        <v>30/75/115</v>
      </c>
      <c r="Y4" s="106" t="str">
        <f t="shared" si="2"/>
        <v>160T/325T/410T</v>
      </c>
      <c r="Z4" s="72" t="str">
        <f t="shared" si="3"/>
        <v>160T/325T/410T</v>
      </c>
      <c r="AA4" s="106" t="str">
        <f t="shared" si="3"/>
        <v>C5/C6</v>
      </c>
      <c r="AB4" s="72" t="str">
        <f t="shared" si="3"/>
        <v>C5/D6</v>
      </c>
      <c r="AC4" s="72" t="str">
        <f t="shared" si="3"/>
        <v>ZU6EG/ZU9EG/ZU15EG</v>
      </c>
      <c r="AD4" s="106" t="str">
        <f t="shared" si="3"/>
        <v>ZU2EG/ZU3EG/ZU4EV/ZU5EV</v>
      </c>
      <c r="AE4" s="72" t="str">
        <f t="shared" si="3"/>
        <v>ZU6EG/ZU9EG/ZU15EG</v>
      </c>
      <c r="AF4" s="106" t="str">
        <f t="shared" si="3"/>
        <v>Z-7030/7035/7045</v>
      </c>
      <c r="AG4" s="72" t="str">
        <f t="shared" si="3"/>
        <v>ZU4CG/ZU5EV/ZU7EV</v>
      </c>
      <c r="AH4" s="106" t="str">
        <f t="shared" si="3"/>
        <v>Z-7015/7030</v>
      </c>
      <c r="AI4" s="106" t="str">
        <f t="shared" si="4"/>
        <v/>
      </c>
      <c r="AJ4" s="72" t="str">
        <f t="shared" si="5"/>
        <v/>
      </c>
      <c r="AK4" s="72" t="str">
        <f t="shared" si="5"/>
        <v/>
      </c>
      <c r="AL4" s="125"/>
      <c r="AM4" s="122" t="str">
        <f t="shared" ref="AM4" si="8">IF(R4&lt;&gt;"",R4,"")</f>
        <v/>
      </c>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row>
    <row r="5" spans="1:74" s="4" customFormat="1" ht="14.1" customHeight="1">
      <c r="A5" s="21"/>
      <c r="B5" s="72" t="str">
        <f>IF('Connector A'!B5&lt;&gt;"",'Connector A'!B5,"")</f>
        <v>F780</v>
      </c>
      <c r="C5" s="106" t="str">
        <f>IF('Connector A'!C5&lt;&gt;"",'Connector A'!C5,"")</f>
        <v>F484</v>
      </c>
      <c r="D5" s="106" t="str">
        <f>IF('Connector A'!D5&lt;&gt;"",'Connector A'!D5,"")</f>
        <v>FBG676/FFG676</v>
      </c>
      <c r="E5" s="72" t="str">
        <f>IF('Connector A'!E5&lt;&gt;"",'Connector A'!E5,"")</f>
        <v>FFG676</v>
      </c>
      <c r="F5" s="106" t="str">
        <f>IF('Connector A'!F5&lt;&gt;"",'Connector A'!F5,"")</f>
        <v>U672</v>
      </c>
      <c r="G5" s="72" t="str">
        <f>IF('Connector A'!G5&lt;&gt;"",'Connector A'!G5,"")</f>
        <v>F896</v>
      </c>
      <c r="H5" s="72" t="str">
        <f>IF('Connector A'!H5&lt;&gt;"",'Connector A'!H5,"")</f>
        <v>C900</v>
      </c>
      <c r="I5" s="106" t="str">
        <f>IF('Connector A'!I5&lt;&gt;"",'Connector A'!I5,"")</f>
        <v>C784</v>
      </c>
      <c r="J5" s="72" t="str">
        <f>IF('Connector A'!J5&lt;&gt;"",'Connector A'!J5,"")</f>
        <v>C900</v>
      </c>
      <c r="K5" s="106" t="str">
        <f>IF('Connector A'!K5&lt;&gt;"",'Connector A'!K5,"")</f>
        <v>FBG676/FFG676</v>
      </c>
      <c r="L5" s="72" t="str">
        <f>IF('Connector A'!L5&lt;&gt;"",'Connector A'!L5,"")</f>
        <v>B900</v>
      </c>
      <c r="M5" s="106" t="str">
        <f>IF('Connector A'!M5&lt;&gt;"",'Connector A'!M5,"")</f>
        <v>CLG485/SBG485</v>
      </c>
      <c r="N5" s="106" t="str">
        <f>IF('Connector A'!N5&lt;&gt;"",'Connector A'!N5,"")</f>
        <v/>
      </c>
      <c r="O5" s="72" t="str">
        <f>IF('Connector A'!O5&lt;&gt;"",'Connector A'!O5,"")</f>
        <v/>
      </c>
      <c r="P5" s="72" t="str">
        <f>IF('Connector A'!P5&lt;&gt;"",'Connector A'!P5,"")</f>
        <v/>
      </c>
      <c r="Q5" s="106" t="str">
        <f>IF('Connector A'!Q5&lt;&gt;"",'Connector A'!Q5,"")</f>
        <v/>
      </c>
      <c r="R5" s="72" t="str">
        <f>IF('Connector A'!R5&lt;&gt;"",'Connector A'!R5,"")</f>
        <v/>
      </c>
      <c r="S5" s="22" t="str">
        <f>'Connector A'!S5</f>
        <v>FPGA package</v>
      </c>
      <c r="T5" s="231"/>
      <c r="U5" s="231"/>
      <c r="V5" s="23" t="str">
        <f t="shared" si="0"/>
        <v>FPGA package</v>
      </c>
      <c r="W5" s="72" t="str">
        <f t="shared" si="1"/>
        <v>F780</v>
      </c>
      <c r="X5" s="106" t="str">
        <f t="shared" si="2"/>
        <v>F484</v>
      </c>
      <c r="Y5" s="106" t="str">
        <f t="shared" si="2"/>
        <v>FBG676/FFG676</v>
      </c>
      <c r="Z5" s="72" t="str">
        <f t="shared" si="3"/>
        <v>FFG676</v>
      </c>
      <c r="AA5" s="106" t="str">
        <f t="shared" si="3"/>
        <v>U672</v>
      </c>
      <c r="AB5" s="72" t="str">
        <f t="shared" si="3"/>
        <v>F896</v>
      </c>
      <c r="AC5" s="72" t="str">
        <f t="shared" si="3"/>
        <v>C900</v>
      </c>
      <c r="AD5" s="106" t="str">
        <f t="shared" si="3"/>
        <v>C784</v>
      </c>
      <c r="AE5" s="72" t="str">
        <f t="shared" si="3"/>
        <v>C900</v>
      </c>
      <c r="AF5" s="106" t="str">
        <f t="shared" si="3"/>
        <v>FBG676/FFG676</v>
      </c>
      <c r="AG5" s="72" t="str">
        <f t="shared" si="3"/>
        <v>B900</v>
      </c>
      <c r="AH5" s="106" t="str">
        <f t="shared" si="3"/>
        <v>CLG485/SBG485</v>
      </c>
      <c r="AI5" s="106" t="str">
        <f t="shared" si="4"/>
        <v/>
      </c>
      <c r="AJ5" s="72" t="str">
        <f t="shared" si="5"/>
        <v/>
      </c>
      <c r="AK5" s="72" t="str">
        <f t="shared" si="5"/>
        <v/>
      </c>
      <c r="AL5" s="125"/>
      <c r="AM5" s="122" t="str">
        <f t="shared" si="6"/>
        <v/>
      </c>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row>
    <row r="6" spans="1:74" ht="14.1" customHeight="1">
      <c r="A6" s="20"/>
      <c r="B6" s="72" t="str">
        <f>IF('Connector A'!B6&lt;&gt;"",'Connector A'!B6,"")</f>
        <v>R2</v>
      </c>
      <c r="C6" s="106" t="str">
        <f>IF('Connector A'!C6&lt;&gt;"",'Connector A'!C6,"")</f>
        <v>R6</v>
      </c>
      <c r="D6" s="106" t="str">
        <f>IF('Connector A'!D6&lt;&gt;"",'Connector A'!D6,"")</f>
        <v>R5</v>
      </c>
      <c r="E6" s="72" t="str">
        <f>IF('Connector A'!E6&lt;&gt;"",'Connector A'!E6,"")</f>
        <v>R2</v>
      </c>
      <c r="F6" s="106" t="str">
        <f>IF('Connector A'!F6&lt;&gt;"",'Connector A'!F6,"")</f>
        <v>R3</v>
      </c>
      <c r="G6" s="72" t="str">
        <f>IF('Connector A'!G6&lt;&gt;"",'Connector A'!G6,"")</f>
        <v>R1</v>
      </c>
      <c r="H6" s="72" t="str">
        <f>IF('Connector A'!H6&lt;&gt;"",'Connector A'!H6,"")</f>
        <v>R3</v>
      </c>
      <c r="I6" s="106" t="str">
        <f>IF('Connector A'!I6&lt;&gt;"",'Connector A'!I6,"")</f>
        <v>R1</v>
      </c>
      <c r="J6" s="72" t="str">
        <f>IF('Connector A'!J6&lt;&gt;"",'Connector A'!J6,"")</f>
        <v>R1</v>
      </c>
      <c r="K6" s="106" t="str">
        <f>IF('Connector A'!K6&lt;&gt;"",'Connector A'!K6,"")</f>
        <v>R3</v>
      </c>
      <c r="L6" s="72" t="str">
        <f>IF('Connector A'!L6&lt;&gt;"",'Connector A'!L6,"")</f>
        <v>R1</v>
      </c>
      <c r="M6" s="106" t="str">
        <f>IF('Connector A'!M6&lt;&gt;"",'Connector A'!M6,"")</f>
        <v>R3</v>
      </c>
      <c r="N6" s="106" t="str">
        <f>IF('Connector A'!N6&lt;&gt;"",'Connector A'!N6,"")</f>
        <v>R1</v>
      </c>
      <c r="O6" s="72" t="str">
        <f>IF('Connector A'!O6&lt;&gt;"",'Connector A'!O6,"")</f>
        <v>R4</v>
      </c>
      <c r="P6" s="72" t="str">
        <f>IF('Connector A'!P6&lt;&gt;"",'Connector A'!P6,"")</f>
        <v/>
      </c>
      <c r="Q6" s="106" t="str">
        <f>IF('Connector A'!Q6&lt;&gt;"",'Connector A'!Q6,"")</f>
        <v/>
      </c>
      <c r="R6" s="72" t="str">
        <f>IF('Connector A'!R6&lt;&gt;"",'Connector A'!R6,"")</f>
        <v/>
      </c>
      <c r="S6" s="22" t="str">
        <f>'Connector A'!S6</f>
        <v>Board revision</v>
      </c>
      <c r="T6" s="231"/>
      <c r="U6" s="231"/>
      <c r="V6" s="23" t="str">
        <f t="shared" si="0"/>
        <v>Board revision</v>
      </c>
      <c r="W6" s="72" t="str">
        <f t="shared" si="1"/>
        <v>R2</v>
      </c>
      <c r="X6" s="106" t="str">
        <f t="shared" si="2"/>
        <v>R6</v>
      </c>
      <c r="Y6" s="106" t="str">
        <f t="shared" si="2"/>
        <v>R5</v>
      </c>
      <c r="Z6" s="72" t="str">
        <f t="shared" si="3"/>
        <v>R2</v>
      </c>
      <c r="AA6" s="106" t="str">
        <f t="shared" si="3"/>
        <v>R3</v>
      </c>
      <c r="AB6" s="72" t="str">
        <f t="shared" si="3"/>
        <v>R1</v>
      </c>
      <c r="AC6" s="72" t="str">
        <f t="shared" si="3"/>
        <v>R3</v>
      </c>
      <c r="AD6" s="106" t="str">
        <f t="shared" si="3"/>
        <v>R1</v>
      </c>
      <c r="AE6" s="72" t="str">
        <f t="shared" si="3"/>
        <v>R1</v>
      </c>
      <c r="AF6" s="106" t="str">
        <f t="shared" si="3"/>
        <v>R3</v>
      </c>
      <c r="AG6" s="72" t="str">
        <f t="shared" si="3"/>
        <v>R1</v>
      </c>
      <c r="AH6" s="106" t="str">
        <f t="shared" si="3"/>
        <v>R3</v>
      </c>
      <c r="AI6" s="106" t="str">
        <f t="shared" si="4"/>
        <v>R1</v>
      </c>
      <c r="AJ6" s="72" t="str">
        <f t="shared" si="5"/>
        <v>R4</v>
      </c>
      <c r="AK6" s="72" t="str">
        <f t="shared" si="5"/>
        <v/>
      </c>
      <c r="AL6" s="125"/>
      <c r="AM6" s="122" t="str">
        <f t="shared" si="6"/>
        <v/>
      </c>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row>
    <row r="7" spans="1:74" ht="14.1" customHeight="1">
      <c r="A7" s="20"/>
      <c r="B7" s="72" t="str">
        <f>IF('Connector A'!B7&lt;&gt;"",'Connector A'!B7,"")</f>
        <v/>
      </c>
      <c r="C7" s="106" t="str">
        <f>IF('Connector A'!C7&lt;&gt;"",'Connector A'!C7,"")</f>
        <v/>
      </c>
      <c r="D7" s="106" t="str">
        <f>IF('Connector A'!D7&lt;&gt;"",'Connector A'!D7,"")</f>
        <v/>
      </c>
      <c r="E7" s="72" t="str">
        <f>IF('Connector A'!E7&lt;&gt;"",'Connector A'!E7,"")</f>
        <v/>
      </c>
      <c r="F7" s="106" t="str">
        <f>IF('Connector A'!F7&lt;&gt;"",'Connector A'!F7,"")</f>
        <v/>
      </c>
      <c r="G7" s="72" t="str">
        <f>IF('Connector A'!G7&lt;&gt;"",'Connector A'!G7,"")</f>
        <v/>
      </c>
      <c r="H7" s="72" t="str">
        <f>IF('Connector A'!H7&lt;&gt;"",'Connector A'!H7,"")</f>
        <v/>
      </c>
      <c r="I7" s="106" t="str">
        <f>IF('Connector A'!I7&lt;&gt;"",'Connector A'!I7,"")</f>
        <v/>
      </c>
      <c r="J7" s="72" t="str">
        <f>IF('Connector A'!J7&lt;&gt;"",'Connector A'!J7,"")</f>
        <v/>
      </c>
      <c r="K7" s="106" t="str">
        <f>IF('Connector A'!K7&lt;&gt;"",'Connector A'!K7,"")</f>
        <v/>
      </c>
      <c r="L7" s="72" t="str">
        <f>IF('Connector A'!L7&lt;&gt;"",'Connector A'!L7,"")</f>
        <v/>
      </c>
      <c r="M7" s="106" t="str">
        <f>IF('Connector A'!M7&lt;&gt;"",'Connector A'!M7,"")</f>
        <v/>
      </c>
      <c r="N7" s="106" t="str">
        <f>IF('Connector A'!N7&lt;&gt;"",'Connector A'!N7,"")</f>
        <v>End-of-life</v>
      </c>
      <c r="O7" s="72" t="str">
        <f>IF('Connector A'!O7&lt;&gt;"",'Connector A'!O7,"")</f>
        <v/>
      </c>
      <c r="P7" s="72" t="str">
        <f>IF('Connector A'!P7&lt;&gt;"",'Connector A'!P7,"")</f>
        <v>Advance</v>
      </c>
      <c r="Q7" s="106" t="str">
        <f>IF('Connector A'!Q7&lt;&gt;"",'Connector A'!Q7,"")</f>
        <v>Advance</v>
      </c>
      <c r="R7" s="72" t="str">
        <f>IF('Connector A'!R7&lt;&gt;"",'Connector A'!R7,"")</f>
        <v>Advance</v>
      </c>
      <c r="S7" s="22" t="str">
        <f>'Connector A'!S7</f>
        <v>Board status</v>
      </c>
      <c r="T7" s="231"/>
      <c r="U7" s="231"/>
      <c r="V7" s="23" t="str">
        <f t="shared" ref="V7" si="9">IF(S7&lt;&gt;"",S7,"")</f>
        <v>Board status</v>
      </c>
      <c r="W7" s="72" t="str">
        <f t="shared" si="1"/>
        <v/>
      </c>
      <c r="X7" s="106" t="str">
        <f t="shared" si="2"/>
        <v/>
      </c>
      <c r="Y7" s="106" t="str">
        <f t="shared" si="2"/>
        <v/>
      </c>
      <c r="Z7" s="72" t="str">
        <f t="shared" si="3"/>
        <v/>
      </c>
      <c r="AA7" s="106" t="str">
        <f t="shared" si="3"/>
        <v/>
      </c>
      <c r="AB7" s="72" t="str">
        <f t="shared" si="3"/>
        <v/>
      </c>
      <c r="AC7" s="72" t="str">
        <f t="shared" si="3"/>
        <v/>
      </c>
      <c r="AD7" s="106" t="str">
        <f t="shared" si="3"/>
        <v/>
      </c>
      <c r="AE7" s="72" t="str">
        <f t="shared" si="3"/>
        <v/>
      </c>
      <c r="AF7" s="106" t="str">
        <f t="shared" si="3"/>
        <v/>
      </c>
      <c r="AG7" s="72" t="str">
        <f t="shared" si="3"/>
        <v/>
      </c>
      <c r="AH7" s="106" t="str">
        <f t="shared" si="3"/>
        <v/>
      </c>
      <c r="AI7" s="106" t="str">
        <f t="shared" si="4"/>
        <v>End-of-life</v>
      </c>
      <c r="AJ7" s="72" t="str">
        <f t="shared" si="5"/>
        <v/>
      </c>
      <c r="AK7" s="72" t="str">
        <f t="shared" si="5"/>
        <v>Advance</v>
      </c>
      <c r="AL7" s="125"/>
      <c r="AM7" s="122" t="str">
        <f t="shared" ref="AM7" si="10">IF(R7&lt;&gt;"",R7,"")</f>
        <v>Advance</v>
      </c>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row>
    <row r="8" spans="1:74" ht="14.1" customHeight="1" thickBot="1">
      <c r="A8" s="229"/>
      <c r="B8" s="72" t="str">
        <f>IF('Connector A'!B8&lt;&gt;"",'Connector A'!B8,"")</f>
        <v>28 February 2018</v>
      </c>
      <c r="C8" s="106" t="str">
        <f>IF('Connector A'!C8&lt;&gt;"",'Connector A'!C8,"")</f>
        <v>28 February 2018</v>
      </c>
      <c r="D8" s="106" t="str">
        <f>IF('Connector A'!D8&lt;&gt;"",'Connector A'!D8,"")</f>
        <v>28 February 2018</v>
      </c>
      <c r="E8" s="72" t="str">
        <f>IF('Connector A'!E8&lt;&gt;"",'Connector A'!E8,"")</f>
        <v>20 July 2017</v>
      </c>
      <c r="F8" s="106" t="str">
        <f>IF('Connector A'!F8&lt;&gt;"",'Connector A'!F8,"")</f>
        <v>26 September 2018</v>
      </c>
      <c r="G8" s="72" t="str">
        <f>IF('Connector A'!G8&lt;&gt;"",'Connector A'!G8,"")</f>
        <v>28 February 2018</v>
      </c>
      <c r="H8" s="72" t="str">
        <f>IF('Connector A'!H8&lt;&gt;"",'Connector A'!H8,"")</f>
        <v>26 September 2018</v>
      </c>
      <c r="I8" s="106" t="str">
        <f>IF('Connector A'!I8&lt;&gt;"",'Connector A'!I8,"")</f>
        <v>25 July 2018</v>
      </c>
      <c r="J8" s="72" t="str">
        <f>IF('Connector A'!J8&lt;&gt;"",'Connector A'!J8,"")</f>
        <v>26 September 2018</v>
      </c>
      <c r="K8" s="106" t="str">
        <f>IF('Connector A'!K8&lt;&gt;"",'Connector A'!K8,"")</f>
        <v>28 February 2018</v>
      </c>
      <c r="L8" s="72" t="str">
        <f>IF('Connector A'!L8&lt;&gt;"",'Connector A'!L8,"")</f>
        <v>26 September 2018</v>
      </c>
      <c r="M8" s="106" t="str">
        <f>IF('Connector A'!M8&lt;&gt;"",'Connector A'!M8,"")</f>
        <v>28 February 2018</v>
      </c>
      <c r="N8" s="106" t="str">
        <f>IF('Connector A'!N8&lt;&gt;"",'Connector A'!N8,"")</f>
        <v>28 May 2013</v>
      </c>
      <c r="O8" s="72" t="str">
        <f>IF('Connector A'!O8&lt;&gt;"",'Connector A'!O8,"")</f>
        <v>28 February 2018</v>
      </c>
      <c r="P8" s="72" t="str">
        <f>IF('Connector A'!P8&lt;&gt;"",'Connector A'!P8,"")</f>
        <v>12 May 2015</v>
      </c>
      <c r="Q8" s="106" t="str">
        <f>IF('Connector A'!Q8&lt;&gt;"",'Connector A'!Q8,"")</f>
        <v>12 May 2015</v>
      </c>
      <c r="R8" s="72" t="str">
        <f>IF('Connector A'!R8&lt;&gt;"",'Connector A'!R8,"")</f>
        <v>12 May 2015</v>
      </c>
      <c r="S8" s="22" t="str">
        <f>'Connector A'!S8</f>
        <v>Last update</v>
      </c>
      <c r="T8" s="233"/>
      <c r="U8" s="233"/>
      <c r="V8" s="23" t="str">
        <f t="shared" si="0"/>
        <v>Last update</v>
      </c>
      <c r="W8" s="72" t="str">
        <f t="shared" si="1"/>
        <v>28 February 2018</v>
      </c>
      <c r="X8" s="106" t="str">
        <f t="shared" si="2"/>
        <v>28 February 2018</v>
      </c>
      <c r="Y8" s="106" t="str">
        <f t="shared" si="2"/>
        <v>28 February 2018</v>
      </c>
      <c r="Z8" s="72" t="str">
        <f t="shared" si="3"/>
        <v>20 July 2017</v>
      </c>
      <c r="AA8" s="106" t="str">
        <f t="shared" si="3"/>
        <v>26 September 2018</v>
      </c>
      <c r="AB8" s="72" t="str">
        <f t="shared" si="3"/>
        <v>28 February 2018</v>
      </c>
      <c r="AC8" s="72" t="str">
        <f t="shared" si="3"/>
        <v>26 September 2018</v>
      </c>
      <c r="AD8" s="106" t="str">
        <f t="shared" si="3"/>
        <v>25 July 2018</v>
      </c>
      <c r="AE8" s="72" t="str">
        <f t="shared" si="3"/>
        <v>26 September 2018</v>
      </c>
      <c r="AF8" s="106" t="str">
        <f t="shared" si="3"/>
        <v>28 February 2018</v>
      </c>
      <c r="AG8" s="72" t="str">
        <f t="shared" si="3"/>
        <v>26 September 2018</v>
      </c>
      <c r="AH8" s="106" t="str">
        <f t="shared" si="3"/>
        <v>28 February 2018</v>
      </c>
      <c r="AI8" s="106" t="str">
        <f t="shared" si="4"/>
        <v>28 May 2013</v>
      </c>
      <c r="AJ8" s="72" t="str">
        <f t="shared" si="5"/>
        <v>28 February 2018</v>
      </c>
      <c r="AK8" s="72" t="str">
        <f t="shared" si="5"/>
        <v>12 May 2015</v>
      </c>
      <c r="AL8" s="125"/>
      <c r="AM8" s="122" t="str">
        <f t="shared" si="6"/>
        <v>12 May 2015</v>
      </c>
      <c r="AN8" s="14"/>
      <c r="AO8" s="2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row>
    <row r="9" spans="1:74" s="71" customFormat="1" ht="20.100000000000001" customHeight="1" thickTop="1">
      <c r="A9" s="229"/>
      <c r="B9" s="73" t="s">
        <v>0</v>
      </c>
      <c r="C9" s="106" t="s">
        <v>0</v>
      </c>
      <c r="D9" s="106" t="s">
        <v>0</v>
      </c>
      <c r="E9" s="73" t="s">
        <v>0</v>
      </c>
      <c r="F9" s="106" t="s">
        <v>1051</v>
      </c>
      <c r="G9" s="73" t="s">
        <v>1051</v>
      </c>
      <c r="H9" s="73" t="s">
        <v>0</v>
      </c>
      <c r="I9" s="106" t="s">
        <v>0</v>
      </c>
      <c r="J9" s="73" t="s">
        <v>0</v>
      </c>
      <c r="K9" s="106" t="s">
        <v>0</v>
      </c>
      <c r="L9" s="73" t="s">
        <v>3137</v>
      </c>
      <c r="M9" s="106" t="s">
        <v>0</v>
      </c>
      <c r="N9" s="106" t="s">
        <v>0</v>
      </c>
      <c r="O9" s="73" t="s">
        <v>0</v>
      </c>
      <c r="P9" s="73" t="s">
        <v>0</v>
      </c>
      <c r="Q9" s="106" t="s">
        <v>0</v>
      </c>
      <c r="R9" s="73" t="s">
        <v>0</v>
      </c>
      <c r="S9" s="74" t="str">
        <f>'Connector A'!S9</f>
        <v>Pin Type (*11)</v>
      </c>
      <c r="T9" s="75" t="s">
        <v>253</v>
      </c>
      <c r="U9" s="76" t="s">
        <v>254</v>
      </c>
      <c r="V9" s="74" t="str">
        <f>IF(S9&lt;&gt;"",S9,"")</f>
        <v>Pin Type (*11)</v>
      </c>
      <c r="W9" s="73" t="s">
        <v>0</v>
      </c>
      <c r="X9" s="106" t="s">
        <v>0</v>
      </c>
      <c r="Y9" s="106" t="s">
        <v>0</v>
      </c>
      <c r="Z9" s="73" t="s">
        <v>0</v>
      </c>
      <c r="AA9" s="106" t="s">
        <v>1051</v>
      </c>
      <c r="AB9" s="73" t="s">
        <v>1051</v>
      </c>
      <c r="AC9" s="73" t="s">
        <v>0</v>
      </c>
      <c r="AD9" s="106" t="s">
        <v>0</v>
      </c>
      <c r="AE9" s="73" t="s">
        <v>0</v>
      </c>
      <c r="AF9" s="106" t="s">
        <v>0</v>
      </c>
      <c r="AG9" s="73" t="s">
        <v>3137</v>
      </c>
      <c r="AH9" s="106" t="s">
        <v>0</v>
      </c>
      <c r="AI9" s="106" t="s">
        <v>0</v>
      </c>
      <c r="AJ9" s="73" t="s">
        <v>0</v>
      </c>
      <c r="AK9" s="73" t="s">
        <v>0</v>
      </c>
      <c r="AL9" s="125"/>
      <c r="AM9" s="126" t="s">
        <v>0</v>
      </c>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row>
    <row r="10" spans="1:74" ht="14.1" customHeight="1">
      <c r="A10" s="229"/>
      <c r="B10" s="178" t="s">
        <v>2</v>
      </c>
      <c r="C10" s="178"/>
      <c r="D10" s="178"/>
      <c r="E10" s="178" t="s">
        <v>2</v>
      </c>
      <c r="F10" s="186"/>
      <c r="G10" s="178" t="s">
        <v>2</v>
      </c>
      <c r="H10" s="190" t="s">
        <v>2</v>
      </c>
      <c r="I10" s="186"/>
      <c r="J10" s="190" t="s">
        <v>2</v>
      </c>
      <c r="K10" s="178"/>
      <c r="L10" s="190" t="s">
        <v>2</v>
      </c>
      <c r="M10" s="186"/>
      <c r="N10" s="178"/>
      <c r="O10" s="178" t="s">
        <v>2</v>
      </c>
      <c r="P10" s="178" t="s">
        <v>2</v>
      </c>
      <c r="Q10" s="178"/>
      <c r="R10" s="178" t="s">
        <v>2</v>
      </c>
      <c r="S10" s="196" t="s">
        <v>2</v>
      </c>
      <c r="T10" s="54">
        <v>1</v>
      </c>
      <c r="U10" s="55">
        <v>2</v>
      </c>
      <c r="V10" s="196" t="s">
        <v>2</v>
      </c>
      <c r="W10" s="178" t="s">
        <v>2</v>
      </c>
      <c r="X10" s="178"/>
      <c r="Y10" s="178"/>
      <c r="Z10" s="178" t="s">
        <v>2</v>
      </c>
      <c r="AA10" s="32"/>
      <c r="AB10" s="32" t="s">
        <v>2</v>
      </c>
      <c r="AC10" s="162" t="s">
        <v>2</v>
      </c>
      <c r="AD10" s="32"/>
      <c r="AE10" s="162" t="s">
        <v>2</v>
      </c>
      <c r="AF10" s="108"/>
      <c r="AG10" s="162" t="s">
        <v>2</v>
      </c>
      <c r="AH10" s="108"/>
      <c r="AI10" s="32"/>
      <c r="AJ10" s="32" t="s">
        <v>2</v>
      </c>
      <c r="AK10" s="32" t="s">
        <v>2</v>
      </c>
      <c r="AL10" s="37"/>
      <c r="AM10" s="37" t="s">
        <v>2</v>
      </c>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row>
    <row r="11" spans="1:74" ht="14.1" customHeight="1">
      <c r="A11" s="116" t="s">
        <v>2032</v>
      </c>
      <c r="B11" s="119" t="s">
        <v>2139</v>
      </c>
      <c r="C11" s="197"/>
      <c r="D11" s="93"/>
      <c r="E11" s="91" t="s">
        <v>2247</v>
      </c>
      <c r="F11" s="91"/>
      <c r="G11" s="91" t="s">
        <v>1396</v>
      </c>
      <c r="H11" s="184" t="s">
        <v>2465</v>
      </c>
      <c r="I11" s="91"/>
      <c r="J11" s="184" t="s">
        <v>2522</v>
      </c>
      <c r="K11" s="91"/>
      <c r="L11" s="184" t="s">
        <v>2988</v>
      </c>
      <c r="M11" s="91"/>
      <c r="N11" s="197"/>
      <c r="O11" s="91" t="s">
        <v>2115</v>
      </c>
      <c r="P11" s="91"/>
      <c r="Q11" s="91"/>
      <c r="R11" s="91" t="s">
        <v>1728</v>
      </c>
      <c r="S11" s="185" t="s">
        <v>10</v>
      </c>
      <c r="T11" s="54">
        <v>3</v>
      </c>
      <c r="U11" s="55">
        <v>4</v>
      </c>
      <c r="V11" s="198" t="s">
        <v>1058</v>
      </c>
      <c r="W11" s="93" t="s">
        <v>1531</v>
      </c>
      <c r="X11" s="197"/>
      <c r="Y11" s="93"/>
      <c r="Z11" s="91" t="s">
        <v>239</v>
      </c>
      <c r="AA11" s="34"/>
      <c r="AB11" s="35" t="s">
        <v>1380</v>
      </c>
      <c r="AC11" s="158" t="s">
        <v>2522</v>
      </c>
      <c r="AD11" s="34"/>
      <c r="AE11" s="158" t="s">
        <v>2412</v>
      </c>
      <c r="AF11" s="109"/>
      <c r="AG11" s="158" t="s">
        <v>3028</v>
      </c>
      <c r="AH11" s="109"/>
      <c r="AI11" s="34"/>
      <c r="AJ11" s="91" t="s">
        <v>2601</v>
      </c>
      <c r="AK11" s="91"/>
      <c r="AL11" s="57"/>
      <c r="AM11" s="57" t="s">
        <v>1687</v>
      </c>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row>
    <row r="12" spans="1:74" ht="14.1" customHeight="1">
      <c r="A12" s="117" t="s">
        <v>2033</v>
      </c>
      <c r="B12" s="119" t="s">
        <v>2140</v>
      </c>
      <c r="C12" s="197"/>
      <c r="D12" s="93"/>
      <c r="E12" s="91" t="s">
        <v>2248</v>
      </c>
      <c r="F12" s="91"/>
      <c r="G12" s="91" t="s">
        <v>1397</v>
      </c>
      <c r="H12" s="184" t="s">
        <v>2466</v>
      </c>
      <c r="I12" s="91"/>
      <c r="J12" s="184" t="s">
        <v>2523</v>
      </c>
      <c r="K12" s="91"/>
      <c r="L12" s="184" t="s">
        <v>2989</v>
      </c>
      <c r="M12" s="91"/>
      <c r="N12" s="197"/>
      <c r="O12" s="91" t="s">
        <v>2116</v>
      </c>
      <c r="P12" s="91"/>
      <c r="Q12" s="91"/>
      <c r="R12" s="91" t="s">
        <v>1729</v>
      </c>
      <c r="S12" s="185" t="s">
        <v>11</v>
      </c>
      <c r="T12" s="54">
        <v>5</v>
      </c>
      <c r="U12" s="55">
        <v>6</v>
      </c>
      <c r="V12" s="198" t="s">
        <v>1059</v>
      </c>
      <c r="W12" s="93" t="s">
        <v>1532</v>
      </c>
      <c r="X12" s="197"/>
      <c r="Y12" s="93"/>
      <c r="Z12" s="91" t="s">
        <v>239</v>
      </c>
      <c r="AA12" s="34"/>
      <c r="AB12" s="35" t="s">
        <v>1381</v>
      </c>
      <c r="AC12" s="158" t="s">
        <v>2523</v>
      </c>
      <c r="AD12" s="34"/>
      <c r="AE12" s="158" t="s">
        <v>2413</v>
      </c>
      <c r="AF12" s="109"/>
      <c r="AG12" s="158" t="s">
        <v>3029</v>
      </c>
      <c r="AH12" s="109"/>
      <c r="AI12" s="34"/>
      <c r="AJ12" s="91" t="s">
        <v>2602</v>
      </c>
      <c r="AK12" s="91"/>
      <c r="AL12" s="57"/>
      <c r="AM12" s="57" t="s">
        <v>1688</v>
      </c>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row>
    <row r="13" spans="1:74" ht="14.1" customHeight="1">
      <c r="A13" s="19"/>
      <c r="B13" s="119" t="s">
        <v>2141</v>
      </c>
      <c r="C13" s="197"/>
      <c r="D13" s="197"/>
      <c r="E13" s="91" t="s">
        <v>239</v>
      </c>
      <c r="F13" s="91"/>
      <c r="G13" s="91" t="s">
        <v>1398</v>
      </c>
      <c r="H13" s="184" t="s">
        <v>2467</v>
      </c>
      <c r="I13" s="91"/>
      <c r="J13" s="184" t="s">
        <v>2465</v>
      </c>
      <c r="K13" s="91"/>
      <c r="L13" s="184" t="s">
        <v>2990</v>
      </c>
      <c r="M13" s="91"/>
      <c r="N13" s="197"/>
      <c r="O13" s="91" t="s">
        <v>2117</v>
      </c>
      <c r="P13" s="91"/>
      <c r="Q13" s="91"/>
      <c r="R13" s="91" t="s">
        <v>1740</v>
      </c>
      <c r="S13" s="185" t="s">
        <v>10</v>
      </c>
      <c r="T13" s="54">
        <v>7</v>
      </c>
      <c r="U13" s="55">
        <v>8</v>
      </c>
      <c r="V13" s="199" t="s">
        <v>19</v>
      </c>
      <c r="W13" s="178" t="s">
        <v>2</v>
      </c>
      <c r="X13" s="178"/>
      <c r="Y13" s="172"/>
      <c r="Z13" s="197" t="s">
        <v>239</v>
      </c>
      <c r="AA13" s="36"/>
      <c r="AB13" s="33" t="s">
        <v>239</v>
      </c>
      <c r="AC13" s="153" t="s">
        <v>2748</v>
      </c>
      <c r="AD13" s="36"/>
      <c r="AE13" s="153" t="s">
        <v>5</v>
      </c>
      <c r="AF13" s="111"/>
      <c r="AG13" s="155" t="s">
        <v>239</v>
      </c>
      <c r="AH13" s="111"/>
      <c r="AI13" s="32"/>
      <c r="AJ13" s="32" t="s">
        <v>239</v>
      </c>
      <c r="AK13" s="32" t="s">
        <v>2</v>
      </c>
      <c r="AL13" s="37"/>
      <c r="AM13" s="37" t="s">
        <v>2</v>
      </c>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row>
    <row r="14" spans="1:74" ht="14.1" customHeight="1">
      <c r="A14" s="19"/>
      <c r="B14" s="119" t="s">
        <v>2142</v>
      </c>
      <c r="C14" s="197"/>
      <c r="D14" s="197"/>
      <c r="E14" s="91" t="s">
        <v>239</v>
      </c>
      <c r="F14" s="91"/>
      <c r="G14" s="91" t="s">
        <v>1399</v>
      </c>
      <c r="H14" s="184" t="s">
        <v>2468</v>
      </c>
      <c r="I14" s="91"/>
      <c r="J14" s="184" t="s">
        <v>2466</v>
      </c>
      <c r="K14" s="91"/>
      <c r="L14" s="184" t="s">
        <v>2991</v>
      </c>
      <c r="M14" s="91"/>
      <c r="N14" s="197"/>
      <c r="O14" s="91" t="s">
        <v>2118</v>
      </c>
      <c r="P14" s="91"/>
      <c r="Q14" s="91"/>
      <c r="R14" s="91" t="s">
        <v>1741</v>
      </c>
      <c r="S14" s="185" t="s">
        <v>11</v>
      </c>
      <c r="T14" s="54">
        <v>9</v>
      </c>
      <c r="U14" s="55">
        <v>10</v>
      </c>
      <c r="V14" s="198" t="s">
        <v>1058</v>
      </c>
      <c r="W14" s="93" t="s">
        <v>1505</v>
      </c>
      <c r="X14" s="197"/>
      <c r="Y14" s="93"/>
      <c r="Z14" s="91" t="s">
        <v>239</v>
      </c>
      <c r="AA14" s="34"/>
      <c r="AB14" s="35" t="s">
        <v>1382</v>
      </c>
      <c r="AC14" s="158" t="s">
        <v>2524</v>
      </c>
      <c r="AD14" s="34"/>
      <c r="AE14" s="158" t="s">
        <v>2356</v>
      </c>
      <c r="AF14" s="109"/>
      <c r="AG14" s="158" t="s">
        <v>3030</v>
      </c>
      <c r="AH14" s="109"/>
      <c r="AI14" s="34"/>
      <c r="AJ14" s="91" t="s">
        <v>2603</v>
      </c>
      <c r="AK14" s="91"/>
      <c r="AL14" s="57"/>
      <c r="AM14" s="57" t="s">
        <v>1707</v>
      </c>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row>
    <row r="15" spans="1:74" ht="14.1" customHeight="1">
      <c r="A15" s="19"/>
      <c r="B15" s="178" t="s">
        <v>2</v>
      </c>
      <c r="C15" s="178"/>
      <c r="D15" s="178"/>
      <c r="E15" s="178" t="s">
        <v>2</v>
      </c>
      <c r="F15" s="178"/>
      <c r="G15" s="178" t="s">
        <v>2</v>
      </c>
      <c r="H15" s="180" t="s">
        <v>2</v>
      </c>
      <c r="I15" s="186"/>
      <c r="J15" s="180" t="s">
        <v>2</v>
      </c>
      <c r="K15" s="197"/>
      <c r="L15" s="180" t="s">
        <v>2</v>
      </c>
      <c r="M15" s="186"/>
      <c r="N15" s="178"/>
      <c r="O15" s="178" t="s">
        <v>2</v>
      </c>
      <c r="P15" s="178" t="s">
        <v>2</v>
      </c>
      <c r="Q15" s="178"/>
      <c r="R15" s="178" t="s">
        <v>2</v>
      </c>
      <c r="S15" s="196" t="s">
        <v>2</v>
      </c>
      <c r="T15" s="54">
        <v>11</v>
      </c>
      <c r="U15" s="55">
        <v>12</v>
      </c>
      <c r="V15" s="198" t="s">
        <v>1059</v>
      </c>
      <c r="W15" s="93" t="s">
        <v>1506</v>
      </c>
      <c r="X15" s="197"/>
      <c r="Y15" s="93"/>
      <c r="Z15" s="91" t="s">
        <v>239</v>
      </c>
      <c r="AA15" s="34"/>
      <c r="AB15" s="35" t="s">
        <v>1383</v>
      </c>
      <c r="AC15" s="158" t="s">
        <v>2525</v>
      </c>
      <c r="AD15" s="34"/>
      <c r="AE15" s="158" t="s">
        <v>2357</v>
      </c>
      <c r="AF15" s="109"/>
      <c r="AG15" s="158" t="s">
        <v>3031</v>
      </c>
      <c r="AH15" s="109"/>
      <c r="AI15" s="34"/>
      <c r="AJ15" s="91" t="s">
        <v>2604</v>
      </c>
      <c r="AK15" s="91"/>
      <c r="AL15" s="57"/>
      <c r="AM15" s="57" t="s">
        <v>1708</v>
      </c>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row>
    <row r="16" spans="1:74" ht="14.1" customHeight="1">
      <c r="A16" s="19"/>
      <c r="B16" s="91" t="s">
        <v>1528</v>
      </c>
      <c r="C16" s="197"/>
      <c r="D16" s="197"/>
      <c r="E16" s="91" t="s">
        <v>239</v>
      </c>
      <c r="F16" s="91"/>
      <c r="G16" s="91" t="s">
        <v>1320</v>
      </c>
      <c r="H16" s="182" t="s">
        <v>2469</v>
      </c>
      <c r="I16" s="197"/>
      <c r="J16" s="182" t="s">
        <v>2368</v>
      </c>
      <c r="K16" s="178"/>
      <c r="L16" s="182" t="s">
        <v>2992</v>
      </c>
      <c r="M16" s="197"/>
      <c r="N16" s="197"/>
      <c r="O16" s="91" t="s">
        <v>1697</v>
      </c>
      <c r="P16" s="91"/>
      <c r="Q16" s="91"/>
      <c r="R16" s="91" t="s">
        <v>1697</v>
      </c>
      <c r="S16" s="185" t="s">
        <v>38</v>
      </c>
      <c r="T16" s="54">
        <v>13</v>
      </c>
      <c r="U16" s="55">
        <v>14</v>
      </c>
      <c r="V16" s="196" t="s">
        <v>2</v>
      </c>
      <c r="W16" s="178" t="s">
        <v>2</v>
      </c>
      <c r="X16" s="178"/>
      <c r="Y16" s="178"/>
      <c r="Z16" s="178" t="s">
        <v>2</v>
      </c>
      <c r="AA16" s="32"/>
      <c r="AB16" s="32" t="s">
        <v>2</v>
      </c>
      <c r="AC16" s="155" t="s">
        <v>2</v>
      </c>
      <c r="AD16" s="32"/>
      <c r="AE16" s="155" t="s">
        <v>2</v>
      </c>
      <c r="AF16" s="108"/>
      <c r="AG16" s="155" t="s">
        <v>2</v>
      </c>
      <c r="AH16" s="108"/>
      <c r="AI16" s="32"/>
      <c r="AJ16" s="32" t="s">
        <v>2</v>
      </c>
      <c r="AK16" s="32" t="s">
        <v>2</v>
      </c>
      <c r="AL16" s="37"/>
      <c r="AM16" s="37" t="s">
        <v>2</v>
      </c>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row>
    <row r="17" spans="1:74" ht="14.1" customHeight="1">
      <c r="A17" s="19"/>
      <c r="B17" s="178" t="s">
        <v>2</v>
      </c>
      <c r="C17" s="178"/>
      <c r="D17" s="178"/>
      <c r="E17" s="178" t="s">
        <v>2</v>
      </c>
      <c r="F17" s="178"/>
      <c r="G17" s="178" t="s">
        <v>2</v>
      </c>
      <c r="H17" s="180" t="s">
        <v>2</v>
      </c>
      <c r="I17" s="178"/>
      <c r="J17" s="180" t="s">
        <v>2</v>
      </c>
      <c r="K17" s="91"/>
      <c r="L17" s="180" t="s">
        <v>2</v>
      </c>
      <c r="M17" s="178"/>
      <c r="N17" s="178"/>
      <c r="O17" s="178" t="s">
        <v>2</v>
      </c>
      <c r="P17" s="178" t="s">
        <v>2</v>
      </c>
      <c r="Q17" s="178"/>
      <c r="R17" s="178" t="s">
        <v>2</v>
      </c>
      <c r="S17" s="196" t="s">
        <v>2</v>
      </c>
      <c r="T17" s="54">
        <v>15</v>
      </c>
      <c r="U17" s="55">
        <v>16</v>
      </c>
      <c r="V17" s="185" t="s">
        <v>34</v>
      </c>
      <c r="W17" s="91" t="s">
        <v>1530</v>
      </c>
      <c r="X17" s="197"/>
      <c r="Y17" s="197"/>
      <c r="Z17" s="91" t="s">
        <v>239</v>
      </c>
      <c r="AA17" s="35"/>
      <c r="AB17" s="35" t="s">
        <v>1322</v>
      </c>
      <c r="AC17" s="154" t="s">
        <v>2526</v>
      </c>
      <c r="AD17" s="33"/>
      <c r="AE17" s="154" t="s">
        <v>2422</v>
      </c>
      <c r="AF17" s="110"/>
      <c r="AG17" s="154" t="s">
        <v>3032</v>
      </c>
      <c r="AH17" s="110"/>
      <c r="AI17" s="33"/>
      <c r="AJ17" s="91" t="s">
        <v>1689</v>
      </c>
      <c r="AK17" s="91"/>
      <c r="AL17" s="57"/>
      <c r="AM17" s="57" t="s">
        <v>1689</v>
      </c>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row>
    <row r="18" spans="1:74" ht="14.1" customHeight="1">
      <c r="A18" s="19"/>
      <c r="B18" s="91" t="s">
        <v>1527</v>
      </c>
      <c r="C18" s="197"/>
      <c r="D18" s="197"/>
      <c r="E18" s="91" t="s">
        <v>239</v>
      </c>
      <c r="F18" s="91"/>
      <c r="G18" s="91" t="s">
        <v>1321</v>
      </c>
      <c r="H18" s="182" t="s">
        <v>2470</v>
      </c>
      <c r="I18" s="197"/>
      <c r="J18" s="182" t="s">
        <v>2369</v>
      </c>
      <c r="K18" s="91"/>
      <c r="L18" s="182" t="s">
        <v>2993</v>
      </c>
      <c r="M18" s="197"/>
      <c r="N18" s="197"/>
      <c r="O18" s="91" t="s">
        <v>1698</v>
      </c>
      <c r="P18" s="91"/>
      <c r="Q18" s="91"/>
      <c r="R18" s="91" t="s">
        <v>1698</v>
      </c>
      <c r="S18" s="185" t="s">
        <v>39</v>
      </c>
      <c r="T18" s="54">
        <v>17</v>
      </c>
      <c r="U18" s="55">
        <v>18</v>
      </c>
      <c r="V18" s="196" t="s">
        <v>2</v>
      </c>
      <c r="W18" s="178" t="s">
        <v>2</v>
      </c>
      <c r="X18" s="178"/>
      <c r="Y18" s="178"/>
      <c r="Z18" s="178" t="s">
        <v>2</v>
      </c>
      <c r="AA18" s="32"/>
      <c r="AB18" s="32" t="s">
        <v>2</v>
      </c>
      <c r="AC18" s="155" t="s">
        <v>2</v>
      </c>
      <c r="AD18" s="32"/>
      <c r="AE18" s="155" t="s">
        <v>2</v>
      </c>
      <c r="AF18" s="108"/>
      <c r="AG18" s="155" t="s">
        <v>2</v>
      </c>
      <c r="AH18" s="108"/>
      <c r="AI18" s="32"/>
      <c r="AJ18" s="32" t="s">
        <v>2</v>
      </c>
      <c r="AK18" s="32" t="s">
        <v>2</v>
      </c>
      <c r="AL18" s="37"/>
      <c r="AM18" s="37" t="s">
        <v>2</v>
      </c>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row>
    <row r="19" spans="1:74" ht="14.1" customHeight="1">
      <c r="A19" s="19"/>
      <c r="B19" s="178" t="s">
        <v>2</v>
      </c>
      <c r="C19" s="178"/>
      <c r="D19" s="178"/>
      <c r="E19" s="178" t="s">
        <v>2</v>
      </c>
      <c r="F19" s="178"/>
      <c r="G19" s="178" t="s">
        <v>2</v>
      </c>
      <c r="H19" s="180" t="s">
        <v>2</v>
      </c>
      <c r="I19" s="178"/>
      <c r="J19" s="180" t="s">
        <v>2</v>
      </c>
      <c r="K19" s="197"/>
      <c r="L19" s="180" t="s">
        <v>2</v>
      </c>
      <c r="M19" s="178"/>
      <c r="N19" s="178"/>
      <c r="O19" s="178" t="s">
        <v>2</v>
      </c>
      <c r="P19" s="178" t="s">
        <v>2</v>
      </c>
      <c r="Q19" s="178"/>
      <c r="R19" s="178" t="s">
        <v>2</v>
      </c>
      <c r="S19" s="196" t="s">
        <v>2</v>
      </c>
      <c r="T19" s="54">
        <v>19</v>
      </c>
      <c r="U19" s="55">
        <v>20</v>
      </c>
      <c r="V19" s="185" t="s">
        <v>35</v>
      </c>
      <c r="W19" s="91" t="s">
        <v>1529</v>
      </c>
      <c r="X19" s="197"/>
      <c r="Y19" s="197"/>
      <c r="Z19" s="91" t="s">
        <v>239</v>
      </c>
      <c r="AA19" s="35"/>
      <c r="AB19" s="35" t="s">
        <v>1323</v>
      </c>
      <c r="AC19" s="154" t="s">
        <v>2527</v>
      </c>
      <c r="AD19" s="33"/>
      <c r="AE19" s="154" t="s">
        <v>2423</v>
      </c>
      <c r="AF19" s="110"/>
      <c r="AG19" s="154" t="s">
        <v>3033</v>
      </c>
      <c r="AH19" s="110"/>
      <c r="AI19" s="33"/>
      <c r="AJ19" s="91" t="s">
        <v>1693</v>
      </c>
      <c r="AK19" s="91"/>
      <c r="AL19" s="57"/>
      <c r="AM19" s="127" t="s">
        <v>1693</v>
      </c>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row>
    <row r="20" spans="1:74" ht="14.1" customHeight="1">
      <c r="A20" s="19"/>
      <c r="B20" s="91" t="s">
        <v>1524</v>
      </c>
      <c r="C20" s="197"/>
      <c r="D20" s="197"/>
      <c r="E20" s="91" t="s">
        <v>239</v>
      </c>
      <c r="F20" s="91"/>
      <c r="G20" s="91" t="s">
        <v>1400</v>
      </c>
      <c r="H20" s="182" t="s">
        <v>2471</v>
      </c>
      <c r="I20" s="197"/>
      <c r="J20" s="182" t="s">
        <v>2370</v>
      </c>
      <c r="K20" s="178"/>
      <c r="L20" s="182" t="s">
        <v>2994</v>
      </c>
      <c r="M20" s="197"/>
      <c r="N20" s="197"/>
      <c r="O20" s="91" t="s">
        <v>1699</v>
      </c>
      <c r="P20" s="91"/>
      <c r="Q20" s="91"/>
      <c r="R20" s="91" t="s">
        <v>1738</v>
      </c>
      <c r="S20" s="185" t="s">
        <v>38</v>
      </c>
      <c r="T20" s="54">
        <v>21</v>
      </c>
      <c r="U20" s="55">
        <v>22</v>
      </c>
      <c r="V20" s="196" t="s">
        <v>2</v>
      </c>
      <c r="W20" s="178" t="s">
        <v>2</v>
      </c>
      <c r="X20" s="178"/>
      <c r="Y20" s="178"/>
      <c r="Z20" s="178" t="s">
        <v>2</v>
      </c>
      <c r="AA20" s="35"/>
      <c r="AB20" s="32" t="s">
        <v>2</v>
      </c>
      <c r="AC20" s="155" t="s">
        <v>2</v>
      </c>
      <c r="AD20" s="32"/>
      <c r="AE20" s="155" t="s">
        <v>2</v>
      </c>
      <c r="AF20" s="108"/>
      <c r="AG20" s="155" t="s">
        <v>2</v>
      </c>
      <c r="AH20" s="108"/>
      <c r="AI20" s="32"/>
      <c r="AJ20" s="32" t="s">
        <v>2</v>
      </c>
      <c r="AK20" s="32" t="s">
        <v>2</v>
      </c>
      <c r="AL20" s="37"/>
      <c r="AM20" s="37" t="s">
        <v>2</v>
      </c>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row>
    <row r="21" spans="1:74" ht="14.1" customHeight="1">
      <c r="A21" s="19"/>
      <c r="B21" s="178" t="s">
        <v>2</v>
      </c>
      <c r="C21" s="178"/>
      <c r="D21" s="178"/>
      <c r="E21" s="178" t="s">
        <v>2</v>
      </c>
      <c r="F21" s="178"/>
      <c r="G21" s="178" t="s">
        <v>2</v>
      </c>
      <c r="H21" s="180" t="s">
        <v>2</v>
      </c>
      <c r="I21" s="178"/>
      <c r="J21" s="180" t="s">
        <v>2</v>
      </c>
      <c r="K21" s="91"/>
      <c r="L21" s="180" t="s">
        <v>2</v>
      </c>
      <c r="M21" s="178"/>
      <c r="N21" s="178"/>
      <c r="O21" s="178" t="s">
        <v>2</v>
      </c>
      <c r="P21" s="178" t="s">
        <v>2</v>
      </c>
      <c r="Q21" s="178"/>
      <c r="R21" s="178" t="s">
        <v>2</v>
      </c>
      <c r="S21" s="196" t="s">
        <v>2</v>
      </c>
      <c r="T21" s="54">
        <v>23</v>
      </c>
      <c r="U21" s="55">
        <v>24</v>
      </c>
      <c r="V21" s="185" t="s">
        <v>34</v>
      </c>
      <c r="W21" s="91" t="s">
        <v>1526</v>
      </c>
      <c r="X21" s="197"/>
      <c r="Y21" s="91"/>
      <c r="Z21" s="91" t="s">
        <v>239</v>
      </c>
      <c r="AA21" s="35"/>
      <c r="AB21" s="35" t="s">
        <v>1384</v>
      </c>
      <c r="AC21" s="154" t="s">
        <v>2528</v>
      </c>
      <c r="AD21" s="33"/>
      <c r="AE21" s="154" t="s">
        <v>2424</v>
      </c>
      <c r="AF21" s="110"/>
      <c r="AG21" s="154" t="s">
        <v>3034</v>
      </c>
      <c r="AH21" s="110"/>
      <c r="AI21" s="33"/>
      <c r="AJ21" s="91" t="s">
        <v>1690</v>
      </c>
      <c r="AK21" s="91"/>
      <c r="AL21" s="57"/>
      <c r="AM21" s="127" t="s">
        <v>1712</v>
      </c>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row>
    <row r="22" spans="1:74" ht="14.1" customHeight="1">
      <c r="A22" s="19"/>
      <c r="B22" s="91" t="s">
        <v>1523</v>
      </c>
      <c r="C22" s="197"/>
      <c r="D22" s="197"/>
      <c r="E22" s="91" t="s">
        <v>239</v>
      </c>
      <c r="F22" s="91"/>
      <c r="G22" s="91" t="s">
        <v>1401</v>
      </c>
      <c r="H22" s="182" t="s">
        <v>2472</v>
      </c>
      <c r="I22" s="197"/>
      <c r="J22" s="182" t="s">
        <v>2371</v>
      </c>
      <c r="K22" s="91"/>
      <c r="L22" s="182" t="s">
        <v>2995</v>
      </c>
      <c r="M22" s="197"/>
      <c r="N22" s="197"/>
      <c r="O22" s="91" t="s">
        <v>1700</v>
      </c>
      <c r="P22" s="91"/>
      <c r="Q22" s="91"/>
      <c r="R22" s="91" t="s">
        <v>1739</v>
      </c>
      <c r="S22" s="185" t="s">
        <v>39</v>
      </c>
      <c r="T22" s="54">
        <v>25</v>
      </c>
      <c r="U22" s="55">
        <v>26</v>
      </c>
      <c r="V22" s="196" t="s">
        <v>2</v>
      </c>
      <c r="W22" s="178" t="s">
        <v>2</v>
      </c>
      <c r="X22" s="178"/>
      <c r="Y22" s="91"/>
      <c r="Z22" s="178" t="s">
        <v>2</v>
      </c>
      <c r="AA22" s="35"/>
      <c r="AB22" s="32" t="s">
        <v>2</v>
      </c>
      <c r="AC22" s="155" t="s">
        <v>2</v>
      </c>
      <c r="AD22" s="32"/>
      <c r="AE22" s="155" t="s">
        <v>2</v>
      </c>
      <c r="AF22" s="108"/>
      <c r="AG22" s="155" t="s">
        <v>2</v>
      </c>
      <c r="AH22" s="108"/>
      <c r="AI22" s="32"/>
      <c r="AJ22" s="32" t="s">
        <v>2</v>
      </c>
      <c r="AK22" s="32" t="s">
        <v>2</v>
      </c>
      <c r="AL22" s="37"/>
      <c r="AM22" s="37" t="s">
        <v>2</v>
      </c>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row>
    <row r="23" spans="1:74" ht="14.1" customHeight="1">
      <c r="A23" s="19"/>
      <c r="B23" s="178" t="s">
        <v>2</v>
      </c>
      <c r="C23" s="178"/>
      <c r="D23" s="178"/>
      <c r="E23" s="178" t="s">
        <v>2</v>
      </c>
      <c r="F23" s="178"/>
      <c r="G23" s="178" t="s">
        <v>2</v>
      </c>
      <c r="H23" s="180" t="s">
        <v>2</v>
      </c>
      <c r="I23" s="178"/>
      <c r="J23" s="180" t="s">
        <v>2</v>
      </c>
      <c r="K23" s="197"/>
      <c r="L23" s="180" t="s">
        <v>2</v>
      </c>
      <c r="M23" s="178"/>
      <c r="N23" s="178"/>
      <c r="O23" s="178" t="s">
        <v>2</v>
      </c>
      <c r="P23" s="178" t="s">
        <v>2</v>
      </c>
      <c r="Q23" s="178"/>
      <c r="R23" s="178" t="s">
        <v>2</v>
      </c>
      <c r="S23" s="196" t="s">
        <v>2</v>
      </c>
      <c r="T23" s="54">
        <v>27</v>
      </c>
      <c r="U23" s="55">
        <v>28</v>
      </c>
      <c r="V23" s="185" t="s">
        <v>35</v>
      </c>
      <c r="W23" s="91" t="s">
        <v>1525</v>
      </c>
      <c r="X23" s="197"/>
      <c r="Y23" s="197"/>
      <c r="Z23" s="91" t="s">
        <v>239</v>
      </c>
      <c r="AA23" s="35"/>
      <c r="AB23" s="35" t="s">
        <v>1385</v>
      </c>
      <c r="AC23" s="154" t="s">
        <v>2529</v>
      </c>
      <c r="AD23" s="33"/>
      <c r="AE23" s="154" t="s">
        <v>2425</v>
      </c>
      <c r="AF23" s="110"/>
      <c r="AG23" s="154" t="s">
        <v>3035</v>
      </c>
      <c r="AH23" s="110"/>
      <c r="AI23" s="33"/>
      <c r="AJ23" s="91" t="s">
        <v>1694</v>
      </c>
      <c r="AK23" s="91"/>
      <c r="AL23" s="57"/>
      <c r="AM23" s="127" t="s">
        <v>1713</v>
      </c>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row>
    <row r="24" spans="1:74" ht="14.1" customHeight="1">
      <c r="A24" s="19"/>
      <c r="B24" s="91" t="s">
        <v>1520</v>
      </c>
      <c r="C24" s="197"/>
      <c r="D24" s="197"/>
      <c r="E24" s="91" t="s">
        <v>239</v>
      </c>
      <c r="F24" s="91"/>
      <c r="G24" s="91" t="s">
        <v>1402</v>
      </c>
      <c r="H24" s="182" t="s">
        <v>2473</v>
      </c>
      <c r="I24" s="197"/>
      <c r="J24" s="182" t="s">
        <v>2374</v>
      </c>
      <c r="K24" s="178"/>
      <c r="L24" s="182" t="s">
        <v>2996</v>
      </c>
      <c r="M24" s="197"/>
      <c r="N24" s="197"/>
      <c r="O24" s="91" t="s">
        <v>1701</v>
      </c>
      <c r="P24" s="91"/>
      <c r="Q24" s="91"/>
      <c r="R24" s="91" t="s">
        <v>1732</v>
      </c>
      <c r="S24" s="185" t="s">
        <v>38</v>
      </c>
      <c r="T24" s="54">
        <v>29</v>
      </c>
      <c r="U24" s="55">
        <v>30</v>
      </c>
      <c r="V24" s="196" t="s">
        <v>2</v>
      </c>
      <c r="W24" s="178" t="s">
        <v>2</v>
      </c>
      <c r="X24" s="178"/>
      <c r="Y24" s="178"/>
      <c r="Z24" s="178" t="s">
        <v>2</v>
      </c>
      <c r="AA24" s="35"/>
      <c r="AB24" s="32" t="s">
        <v>2</v>
      </c>
      <c r="AC24" s="155" t="s">
        <v>2</v>
      </c>
      <c r="AD24" s="32"/>
      <c r="AE24" s="155" t="s">
        <v>2</v>
      </c>
      <c r="AF24" s="108"/>
      <c r="AG24" s="155" t="s">
        <v>2</v>
      </c>
      <c r="AH24" s="108"/>
      <c r="AI24" s="32"/>
      <c r="AJ24" s="32" t="s">
        <v>2</v>
      </c>
      <c r="AK24" s="32" t="s">
        <v>2</v>
      </c>
      <c r="AL24" s="37"/>
      <c r="AM24" s="37" t="s">
        <v>2</v>
      </c>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row>
    <row r="25" spans="1:74" ht="14.1" customHeight="1">
      <c r="A25" s="19"/>
      <c r="B25" s="178" t="s">
        <v>2</v>
      </c>
      <c r="C25" s="178"/>
      <c r="D25" s="178"/>
      <c r="E25" s="178" t="s">
        <v>2</v>
      </c>
      <c r="F25" s="178"/>
      <c r="G25" s="178" t="s">
        <v>2</v>
      </c>
      <c r="H25" s="180" t="s">
        <v>2</v>
      </c>
      <c r="I25" s="178"/>
      <c r="J25" s="180" t="s">
        <v>2</v>
      </c>
      <c r="K25" s="91"/>
      <c r="L25" s="180" t="s">
        <v>2</v>
      </c>
      <c r="M25" s="178"/>
      <c r="N25" s="178"/>
      <c r="O25" s="178" t="s">
        <v>2</v>
      </c>
      <c r="P25" s="178" t="s">
        <v>2</v>
      </c>
      <c r="Q25" s="178"/>
      <c r="R25" s="178" t="s">
        <v>2</v>
      </c>
      <c r="S25" s="196" t="s">
        <v>2</v>
      </c>
      <c r="T25" s="54">
        <v>31</v>
      </c>
      <c r="U25" s="55">
        <v>32</v>
      </c>
      <c r="V25" s="185" t="s">
        <v>34</v>
      </c>
      <c r="W25" s="91" t="s">
        <v>1522</v>
      </c>
      <c r="X25" s="197"/>
      <c r="Y25" s="91"/>
      <c r="Z25" s="91" t="s">
        <v>239</v>
      </c>
      <c r="AA25" s="35"/>
      <c r="AB25" s="35" t="s">
        <v>1386</v>
      </c>
      <c r="AC25" s="154" t="s">
        <v>2530</v>
      </c>
      <c r="AD25" s="33"/>
      <c r="AE25" s="154" t="s">
        <v>2426</v>
      </c>
      <c r="AF25" s="110"/>
      <c r="AG25" s="154" t="s">
        <v>3036</v>
      </c>
      <c r="AH25" s="110"/>
      <c r="AI25" s="33"/>
      <c r="AJ25" s="91" t="s">
        <v>1691</v>
      </c>
      <c r="AK25" s="91"/>
      <c r="AL25" s="57"/>
      <c r="AM25" s="99" t="s">
        <v>1719</v>
      </c>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row>
    <row r="26" spans="1:74" ht="14.1" customHeight="1">
      <c r="A26" s="19"/>
      <c r="B26" s="91" t="s">
        <v>1519</v>
      </c>
      <c r="C26" s="197"/>
      <c r="D26" s="197"/>
      <c r="E26" s="91" t="s">
        <v>239</v>
      </c>
      <c r="F26" s="91"/>
      <c r="G26" s="91" t="s">
        <v>1403</v>
      </c>
      <c r="H26" s="182" t="s">
        <v>2474</v>
      </c>
      <c r="I26" s="197"/>
      <c r="J26" s="182" t="s">
        <v>2375</v>
      </c>
      <c r="K26" s="91"/>
      <c r="L26" s="182" t="s">
        <v>2997</v>
      </c>
      <c r="M26" s="197"/>
      <c r="N26" s="197"/>
      <c r="O26" s="91" t="s">
        <v>1702</v>
      </c>
      <c r="P26" s="91"/>
      <c r="Q26" s="91"/>
      <c r="R26" s="91" t="s">
        <v>1733</v>
      </c>
      <c r="S26" s="185" t="s">
        <v>39</v>
      </c>
      <c r="T26" s="54">
        <v>33</v>
      </c>
      <c r="U26" s="55">
        <v>34</v>
      </c>
      <c r="V26" s="196" t="s">
        <v>2</v>
      </c>
      <c r="W26" s="178" t="s">
        <v>2</v>
      </c>
      <c r="X26" s="178"/>
      <c r="Y26" s="91"/>
      <c r="Z26" s="178" t="s">
        <v>2</v>
      </c>
      <c r="AA26" s="35"/>
      <c r="AB26" s="32" t="s">
        <v>2</v>
      </c>
      <c r="AC26" s="155" t="s">
        <v>2</v>
      </c>
      <c r="AD26" s="32"/>
      <c r="AE26" s="155" t="s">
        <v>2</v>
      </c>
      <c r="AF26" s="108"/>
      <c r="AG26" s="155" t="s">
        <v>2</v>
      </c>
      <c r="AH26" s="108"/>
      <c r="AI26" s="32"/>
      <c r="AJ26" s="32" t="s">
        <v>2</v>
      </c>
      <c r="AK26" s="32" t="s">
        <v>2</v>
      </c>
      <c r="AL26" s="37"/>
      <c r="AM26" s="37" t="s">
        <v>2</v>
      </c>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row>
    <row r="27" spans="1:74" ht="14.1" customHeight="1">
      <c r="A27" s="19"/>
      <c r="B27" s="178" t="s">
        <v>2</v>
      </c>
      <c r="C27" s="178"/>
      <c r="D27" s="178"/>
      <c r="E27" s="178" t="s">
        <v>2</v>
      </c>
      <c r="F27" s="178"/>
      <c r="G27" s="178" t="s">
        <v>2</v>
      </c>
      <c r="H27" s="180" t="s">
        <v>2</v>
      </c>
      <c r="I27" s="178"/>
      <c r="J27" s="180" t="s">
        <v>2</v>
      </c>
      <c r="K27" s="172"/>
      <c r="L27" s="180" t="s">
        <v>2</v>
      </c>
      <c r="M27" s="178"/>
      <c r="N27" s="178"/>
      <c r="O27" s="178" t="s">
        <v>2</v>
      </c>
      <c r="P27" s="178" t="s">
        <v>2</v>
      </c>
      <c r="Q27" s="178"/>
      <c r="R27" s="178" t="s">
        <v>2</v>
      </c>
      <c r="S27" s="196" t="s">
        <v>2</v>
      </c>
      <c r="T27" s="54">
        <v>35</v>
      </c>
      <c r="U27" s="55">
        <v>36</v>
      </c>
      <c r="V27" s="185" t="s">
        <v>35</v>
      </c>
      <c r="W27" s="91" t="s">
        <v>1521</v>
      </c>
      <c r="X27" s="197"/>
      <c r="Y27" s="197"/>
      <c r="Z27" s="91" t="s">
        <v>239</v>
      </c>
      <c r="AA27" s="35"/>
      <c r="AB27" s="35" t="s">
        <v>1387</v>
      </c>
      <c r="AC27" s="154" t="s">
        <v>2531</v>
      </c>
      <c r="AD27" s="33"/>
      <c r="AE27" s="154" t="s">
        <v>2427</v>
      </c>
      <c r="AF27" s="110"/>
      <c r="AG27" s="154" t="s">
        <v>3037</v>
      </c>
      <c r="AH27" s="110"/>
      <c r="AI27" s="33"/>
      <c r="AJ27" s="91" t="s">
        <v>1695</v>
      </c>
      <c r="AK27" s="91"/>
      <c r="AL27" s="57"/>
      <c r="AM27" s="99" t="s">
        <v>1720</v>
      </c>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row>
    <row r="28" spans="1:74" ht="14.1" customHeight="1">
      <c r="A28" s="19"/>
      <c r="B28" s="91" t="s">
        <v>1516</v>
      </c>
      <c r="C28" s="197"/>
      <c r="D28" s="197"/>
      <c r="E28" s="91" t="s">
        <v>239</v>
      </c>
      <c r="F28" s="91"/>
      <c r="G28" s="91" t="s">
        <v>1404</v>
      </c>
      <c r="H28" s="182" t="s">
        <v>2475</v>
      </c>
      <c r="I28" s="197"/>
      <c r="J28" s="182" t="s">
        <v>2376</v>
      </c>
      <c r="K28" s="197"/>
      <c r="L28" s="182" t="s">
        <v>2998</v>
      </c>
      <c r="M28" s="197"/>
      <c r="N28" s="197"/>
      <c r="O28" s="91" t="s">
        <v>1703</v>
      </c>
      <c r="P28" s="91"/>
      <c r="Q28" s="91"/>
      <c r="R28" s="91" t="s">
        <v>1734</v>
      </c>
      <c r="S28" s="185" t="s">
        <v>38</v>
      </c>
      <c r="T28" s="54">
        <v>37</v>
      </c>
      <c r="U28" s="55">
        <v>38</v>
      </c>
      <c r="V28" s="196" t="s">
        <v>2</v>
      </c>
      <c r="W28" s="178" t="s">
        <v>2</v>
      </c>
      <c r="X28" s="178"/>
      <c r="Y28" s="178"/>
      <c r="Z28" s="178" t="s">
        <v>2</v>
      </c>
      <c r="AA28" s="35"/>
      <c r="AB28" s="32" t="s">
        <v>2</v>
      </c>
      <c r="AC28" s="155" t="s">
        <v>2</v>
      </c>
      <c r="AD28" s="32"/>
      <c r="AE28" s="155" t="s">
        <v>2</v>
      </c>
      <c r="AF28" s="108"/>
      <c r="AG28" s="155" t="s">
        <v>2</v>
      </c>
      <c r="AH28" s="108"/>
      <c r="AI28" s="32"/>
      <c r="AJ28" s="32" t="s">
        <v>2</v>
      </c>
      <c r="AK28" s="32" t="s">
        <v>2</v>
      </c>
      <c r="AL28" s="37"/>
      <c r="AM28" s="37" t="s">
        <v>2</v>
      </c>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row>
    <row r="29" spans="1:74" ht="14.1" customHeight="1">
      <c r="A29" s="19"/>
      <c r="B29" s="178" t="s">
        <v>2</v>
      </c>
      <c r="C29" s="178"/>
      <c r="D29" s="178"/>
      <c r="E29" s="178" t="s">
        <v>2</v>
      </c>
      <c r="F29" s="178"/>
      <c r="G29" s="178" t="s">
        <v>2</v>
      </c>
      <c r="H29" s="180" t="s">
        <v>2</v>
      </c>
      <c r="I29" s="178"/>
      <c r="J29" s="180" t="s">
        <v>2</v>
      </c>
      <c r="K29" s="91"/>
      <c r="L29" s="180" t="s">
        <v>2</v>
      </c>
      <c r="M29" s="178"/>
      <c r="N29" s="178"/>
      <c r="O29" s="178" t="s">
        <v>2</v>
      </c>
      <c r="P29" s="178" t="s">
        <v>2</v>
      </c>
      <c r="Q29" s="178"/>
      <c r="R29" s="178" t="s">
        <v>2</v>
      </c>
      <c r="S29" s="196" t="s">
        <v>2</v>
      </c>
      <c r="T29" s="54">
        <v>39</v>
      </c>
      <c r="U29" s="55">
        <v>40</v>
      </c>
      <c r="V29" s="185" t="s">
        <v>34</v>
      </c>
      <c r="W29" s="91" t="s">
        <v>1518</v>
      </c>
      <c r="X29" s="197"/>
      <c r="Y29" s="91"/>
      <c r="Z29" s="91" t="s">
        <v>239</v>
      </c>
      <c r="AA29" s="35"/>
      <c r="AB29" s="35" t="s">
        <v>1388</v>
      </c>
      <c r="AC29" s="154" t="s">
        <v>2532</v>
      </c>
      <c r="AD29" s="33"/>
      <c r="AE29" s="154" t="s">
        <v>2428</v>
      </c>
      <c r="AF29" s="110"/>
      <c r="AG29" s="154" t="s">
        <v>3038</v>
      </c>
      <c r="AH29" s="110"/>
      <c r="AI29" s="33"/>
      <c r="AJ29" s="91" t="s">
        <v>1692</v>
      </c>
      <c r="AK29" s="91"/>
      <c r="AL29" s="57"/>
      <c r="AM29" s="99" t="s">
        <v>1721</v>
      </c>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row>
    <row r="30" spans="1:74" ht="14.1" customHeight="1">
      <c r="A30" s="19"/>
      <c r="B30" s="91" t="s">
        <v>1515</v>
      </c>
      <c r="C30" s="197"/>
      <c r="D30" s="197"/>
      <c r="E30" s="91" t="s">
        <v>239</v>
      </c>
      <c r="F30" s="91"/>
      <c r="G30" s="91" t="s">
        <v>1405</v>
      </c>
      <c r="H30" s="182" t="s">
        <v>2476</v>
      </c>
      <c r="I30" s="197"/>
      <c r="J30" s="182" t="s">
        <v>2377</v>
      </c>
      <c r="K30" s="91"/>
      <c r="L30" s="182" t="s">
        <v>2999</v>
      </c>
      <c r="M30" s="197"/>
      <c r="N30" s="197"/>
      <c r="O30" s="91" t="s">
        <v>1704</v>
      </c>
      <c r="P30" s="91"/>
      <c r="Q30" s="91"/>
      <c r="R30" s="91" t="s">
        <v>1735</v>
      </c>
      <c r="S30" s="185" t="s">
        <v>39</v>
      </c>
      <c r="T30" s="54">
        <v>41</v>
      </c>
      <c r="U30" s="55">
        <v>42</v>
      </c>
      <c r="V30" s="196" t="s">
        <v>2</v>
      </c>
      <c r="W30" s="178" t="s">
        <v>2</v>
      </c>
      <c r="X30" s="178"/>
      <c r="Y30" s="91"/>
      <c r="Z30" s="178" t="s">
        <v>2</v>
      </c>
      <c r="AA30" s="35"/>
      <c r="AB30" s="32" t="s">
        <v>2</v>
      </c>
      <c r="AC30" s="155" t="s">
        <v>2</v>
      </c>
      <c r="AD30" s="32"/>
      <c r="AE30" s="155" t="s">
        <v>2</v>
      </c>
      <c r="AF30" s="108"/>
      <c r="AG30" s="155" t="s">
        <v>2</v>
      </c>
      <c r="AH30" s="108"/>
      <c r="AI30" s="32"/>
      <c r="AJ30" s="32" t="s">
        <v>2</v>
      </c>
      <c r="AK30" s="32" t="s">
        <v>2</v>
      </c>
      <c r="AL30" s="37"/>
      <c r="AM30" s="37" t="s">
        <v>2</v>
      </c>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row>
    <row r="31" spans="1:74" ht="14.1" customHeight="1">
      <c r="A31" s="19"/>
      <c r="B31" s="178" t="s">
        <v>2</v>
      </c>
      <c r="C31" s="178"/>
      <c r="D31" s="178"/>
      <c r="E31" s="178" t="s">
        <v>2</v>
      </c>
      <c r="F31" s="178"/>
      <c r="G31" s="178" t="s">
        <v>2</v>
      </c>
      <c r="H31" s="180" t="s">
        <v>2</v>
      </c>
      <c r="I31" s="178"/>
      <c r="J31" s="180" t="s">
        <v>2</v>
      </c>
      <c r="K31" s="197"/>
      <c r="L31" s="180" t="s">
        <v>2</v>
      </c>
      <c r="M31" s="178"/>
      <c r="N31" s="178"/>
      <c r="O31" s="178" t="s">
        <v>2</v>
      </c>
      <c r="P31" s="178" t="s">
        <v>2</v>
      </c>
      <c r="Q31" s="178"/>
      <c r="R31" s="178" t="s">
        <v>2</v>
      </c>
      <c r="S31" s="196" t="s">
        <v>2</v>
      </c>
      <c r="T31" s="54">
        <v>43</v>
      </c>
      <c r="U31" s="55">
        <v>44</v>
      </c>
      <c r="V31" s="185" t="s">
        <v>35</v>
      </c>
      <c r="W31" s="91" t="s">
        <v>1517</v>
      </c>
      <c r="X31" s="197"/>
      <c r="Y31" s="197"/>
      <c r="Z31" s="91" t="s">
        <v>239</v>
      </c>
      <c r="AA31" s="35"/>
      <c r="AB31" s="35" t="s">
        <v>1389</v>
      </c>
      <c r="AC31" s="154" t="s">
        <v>2533</v>
      </c>
      <c r="AD31" s="33"/>
      <c r="AE31" s="154" t="s">
        <v>2429</v>
      </c>
      <c r="AF31" s="110"/>
      <c r="AG31" s="154" t="s">
        <v>3039</v>
      </c>
      <c r="AH31" s="110"/>
      <c r="AI31" s="33"/>
      <c r="AJ31" s="91" t="s">
        <v>1696</v>
      </c>
      <c r="AK31" s="91"/>
      <c r="AL31" s="57"/>
      <c r="AM31" s="99" t="s">
        <v>1722</v>
      </c>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row>
    <row r="32" spans="1:74" ht="14.1" customHeight="1">
      <c r="A32" s="19"/>
      <c r="B32" s="91" t="s">
        <v>2071</v>
      </c>
      <c r="C32" s="197"/>
      <c r="D32" s="197"/>
      <c r="E32" s="91" t="s">
        <v>239</v>
      </c>
      <c r="F32" s="91"/>
      <c r="G32" s="91" t="s">
        <v>1406</v>
      </c>
      <c r="H32" s="182" t="s">
        <v>2477</v>
      </c>
      <c r="I32" s="91"/>
      <c r="J32" s="182" t="s">
        <v>2469</v>
      </c>
      <c r="K32" s="91"/>
      <c r="L32" s="182" t="s">
        <v>3000</v>
      </c>
      <c r="M32" s="91"/>
      <c r="N32" s="197"/>
      <c r="O32" s="91" t="s">
        <v>2593</v>
      </c>
      <c r="P32" s="91"/>
      <c r="Q32" s="91"/>
      <c r="R32" s="91" t="s">
        <v>1709</v>
      </c>
      <c r="S32" s="185" t="s">
        <v>10</v>
      </c>
      <c r="T32" s="54">
        <v>45</v>
      </c>
      <c r="U32" s="55">
        <v>46</v>
      </c>
      <c r="V32" s="196" t="s">
        <v>2</v>
      </c>
      <c r="W32" s="178" t="s">
        <v>2</v>
      </c>
      <c r="X32" s="178"/>
      <c r="Y32" s="178"/>
      <c r="Z32" s="178" t="s">
        <v>2</v>
      </c>
      <c r="AA32" s="35"/>
      <c r="AB32" s="32" t="s">
        <v>2</v>
      </c>
      <c r="AC32" s="155" t="s">
        <v>2</v>
      </c>
      <c r="AD32" s="32"/>
      <c r="AE32" s="155" t="s">
        <v>2</v>
      </c>
      <c r="AF32" s="108"/>
      <c r="AG32" s="155" t="s">
        <v>2</v>
      </c>
      <c r="AH32" s="108"/>
      <c r="AI32" s="32"/>
      <c r="AJ32" s="32" t="s">
        <v>2</v>
      </c>
      <c r="AK32" s="32" t="s">
        <v>2</v>
      </c>
      <c r="AL32" s="37"/>
      <c r="AM32" s="37" t="s">
        <v>2</v>
      </c>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row>
    <row r="33" spans="1:74" ht="14.1" customHeight="1">
      <c r="A33" s="19"/>
      <c r="B33" s="91" t="s">
        <v>2072</v>
      </c>
      <c r="C33" s="197"/>
      <c r="D33" s="197"/>
      <c r="E33" s="91" t="s">
        <v>239</v>
      </c>
      <c r="F33" s="91"/>
      <c r="G33" s="91" t="s">
        <v>1407</v>
      </c>
      <c r="H33" s="182" t="s">
        <v>2478</v>
      </c>
      <c r="I33" s="91"/>
      <c r="J33" s="182" t="s">
        <v>2470</v>
      </c>
      <c r="K33" s="91"/>
      <c r="L33" s="182" t="s">
        <v>3001</v>
      </c>
      <c r="M33" s="91"/>
      <c r="N33" s="197"/>
      <c r="O33" s="91" t="s">
        <v>2594</v>
      </c>
      <c r="P33" s="91"/>
      <c r="Q33" s="91"/>
      <c r="R33" s="91" t="s">
        <v>1711</v>
      </c>
      <c r="S33" s="185" t="s">
        <v>11</v>
      </c>
      <c r="T33" s="54">
        <v>47</v>
      </c>
      <c r="U33" s="55">
        <v>48</v>
      </c>
      <c r="V33" s="185" t="s">
        <v>10</v>
      </c>
      <c r="W33" s="91" t="s">
        <v>2114</v>
      </c>
      <c r="X33" s="197"/>
      <c r="Y33" s="91"/>
      <c r="Z33" s="91" t="s">
        <v>239</v>
      </c>
      <c r="AA33" s="35"/>
      <c r="AB33" s="35" t="s">
        <v>1390</v>
      </c>
      <c r="AC33" s="154" t="s">
        <v>2534</v>
      </c>
      <c r="AD33" s="35"/>
      <c r="AE33" s="154" t="s">
        <v>2526</v>
      </c>
      <c r="AF33" s="110"/>
      <c r="AG33" s="154" t="s">
        <v>3040</v>
      </c>
      <c r="AH33" s="112"/>
      <c r="AI33" s="33"/>
      <c r="AJ33" s="91" t="s">
        <v>2605</v>
      </c>
      <c r="AK33" s="91"/>
      <c r="AL33" s="57"/>
      <c r="AM33" s="127" t="s">
        <v>1715</v>
      </c>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row>
    <row r="34" spans="1:74" ht="14.1" customHeight="1">
      <c r="A34" s="19"/>
      <c r="B34" s="178" t="s">
        <v>2</v>
      </c>
      <c r="C34" s="178"/>
      <c r="D34" s="178"/>
      <c r="E34" s="178" t="s">
        <v>2</v>
      </c>
      <c r="F34" s="178"/>
      <c r="G34" s="178" t="s">
        <v>2</v>
      </c>
      <c r="H34" s="180" t="s">
        <v>2</v>
      </c>
      <c r="I34" s="178"/>
      <c r="J34" s="180" t="s">
        <v>2</v>
      </c>
      <c r="K34" s="91"/>
      <c r="L34" s="180" t="s">
        <v>2</v>
      </c>
      <c r="M34" s="178"/>
      <c r="N34" s="178"/>
      <c r="O34" s="178" t="s">
        <v>2</v>
      </c>
      <c r="P34" s="178" t="s">
        <v>2</v>
      </c>
      <c r="Q34" s="91"/>
      <c r="R34" s="178" t="s">
        <v>2</v>
      </c>
      <c r="S34" s="196" t="s">
        <v>2</v>
      </c>
      <c r="T34" s="54">
        <v>49</v>
      </c>
      <c r="U34" s="55">
        <v>50</v>
      </c>
      <c r="V34" s="185" t="s">
        <v>11</v>
      </c>
      <c r="W34" s="91" t="s">
        <v>2113</v>
      </c>
      <c r="X34" s="197"/>
      <c r="Y34" s="91"/>
      <c r="Z34" s="91" t="s">
        <v>239</v>
      </c>
      <c r="AA34" s="35"/>
      <c r="AB34" s="35" t="s">
        <v>1391</v>
      </c>
      <c r="AC34" s="154" t="s">
        <v>2535</v>
      </c>
      <c r="AD34" s="35"/>
      <c r="AE34" s="154" t="s">
        <v>2527</v>
      </c>
      <c r="AF34" s="110"/>
      <c r="AG34" s="154" t="s">
        <v>3041</v>
      </c>
      <c r="AH34" s="112"/>
      <c r="AI34" s="33"/>
      <c r="AJ34" s="91" t="s">
        <v>2606</v>
      </c>
      <c r="AK34" s="91"/>
      <c r="AL34" s="57"/>
      <c r="AM34" s="127" t="s">
        <v>1716</v>
      </c>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row>
    <row r="35" spans="1:74" ht="14.1" customHeight="1">
      <c r="A35" s="19"/>
      <c r="B35" s="91" t="s">
        <v>2073</v>
      </c>
      <c r="C35" s="197"/>
      <c r="D35" s="197"/>
      <c r="E35" s="91" t="s">
        <v>239</v>
      </c>
      <c r="F35" s="91"/>
      <c r="G35" s="91" t="s">
        <v>1408</v>
      </c>
      <c r="H35" s="182" t="s">
        <v>2479</v>
      </c>
      <c r="I35" s="91"/>
      <c r="J35" s="182" t="s">
        <v>2471</v>
      </c>
      <c r="K35" s="91"/>
      <c r="L35" s="182" t="s">
        <v>3002</v>
      </c>
      <c r="M35" s="91"/>
      <c r="N35" s="197"/>
      <c r="O35" s="91" t="s">
        <v>2595</v>
      </c>
      <c r="P35" s="91"/>
      <c r="Q35" s="91"/>
      <c r="R35" s="91" t="s">
        <v>1710</v>
      </c>
      <c r="S35" s="185" t="s">
        <v>10</v>
      </c>
      <c r="T35" s="54">
        <v>51</v>
      </c>
      <c r="U35" s="55">
        <v>52</v>
      </c>
      <c r="V35" s="196" t="s">
        <v>2</v>
      </c>
      <c r="W35" s="178" t="s">
        <v>2</v>
      </c>
      <c r="X35" s="172"/>
      <c r="Y35" s="172"/>
      <c r="Z35" s="178" t="s">
        <v>2</v>
      </c>
      <c r="AA35" s="35"/>
      <c r="AB35" s="32" t="s">
        <v>2</v>
      </c>
      <c r="AC35" s="155" t="s">
        <v>2</v>
      </c>
      <c r="AD35" s="36"/>
      <c r="AE35" s="155" t="s">
        <v>2</v>
      </c>
      <c r="AF35" s="111"/>
      <c r="AG35" s="155" t="s">
        <v>2</v>
      </c>
      <c r="AH35" s="111"/>
      <c r="AI35" s="36"/>
      <c r="AJ35" s="32" t="s">
        <v>2</v>
      </c>
      <c r="AK35" s="32" t="s">
        <v>2</v>
      </c>
      <c r="AL35" s="37"/>
      <c r="AM35" s="37" t="s">
        <v>2</v>
      </c>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row>
    <row r="36" spans="1:74" ht="14.1" customHeight="1">
      <c r="A36" s="19"/>
      <c r="B36" s="91" t="s">
        <v>2074</v>
      </c>
      <c r="C36" s="197"/>
      <c r="D36" s="197"/>
      <c r="E36" s="91" t="s">
        <v>239</v>
      </c>
      <c r="F36" s="91"/>
      <c r="G36" s="91" t="s">
        <v>1409</v>
      </c>
      <c r="H36" s="182" t="s">
        <v>2480</v>
      </c>
      <c r="I36" s="91"/>
      <c r="J36" s="182" t="s">
        <v>2472</v>
      </c>
      <c r="K36" s="91"/>
      <c r="L36" s="182" t="s">
        <v>3003</v>
      </c>
      <c r="M36" s="91"/>
      <c r="N36" s="197"/>
      <c r="O36" s="91" t="s">
        <v>2596</v>
      </c>
      <c r="P36" s="91"/>
      <c r="Q36" s="91"/>
      <c r="R36" s="91" t="s">
        <v>1714</v>
      </c>
      <c r="S36" s="185" t="s">
        <v>11</v>
      </c>
      <c r="T36" s="54">
        <v>53</v>
      </c>
      <c r="U36" s="55">
        <v>54</v>
      </c>
      <c r="V36" s="185" t="s">
        <v>10</v>
      </c>
      <c r="W36" s="91" t="s">
        <v>2112</v>
      </c>
      <c r="X36" s="197"/>
      <c r="Y36" s="197"/>
      <c r="Z36" s="91" t="s">
        <v>239</v>
      </c>
      <c r="AA36" s="35"/>
      <c r="AB36" s="35" t="s">
        <v>1392</v>
      </c>
      <c r="AC36" s="154" t="s">
        <v>2536</v>
      </c>
      <c r="AD36" s="35"/>
      <c r="AE36" s="154" t="s">
        <v>2528</v>
      </c>
      <c r="AF36" s="110"/>
      <c r="AG36" s="154" t="s">
        <v>3042</v>
      </c>
      <c r="AH36" s="112"/>
      <c r="AI36" s="33"/>
      <c r="AJ36" s="91" t="s">
        <v>2607</v>
      </c>
      <c r="AK36" s="91"/>
      <c r="AL36" s="57"/>
      <c r="AM36" s="127" t="s">
        <v>1717</v>
      </c>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row>
    <row r="37" spans="1:74" ht="14.1" customHeight="1">
      <c r="A37" s="19"/>
      <c r="B37" s="178" t="s">
        <v>2</v>
      </c>
      <c r="C37" s="172"/>
      <c r="D37" s="172"/>
      <c r="E37" s="178" t="s">
        <v>2</v>
      </c>
      <c r="F37" s="172"/>
      <c r="G37" s="178" t="s">
        <v>2</v>
      </c>
      <c r="H37" s="180" t="s">
        <v>2</v>
      </c>
      <c r="I37" s="172"/>
      <c r="J37" s="180" t="s">
        <v>2</v>
      </c>
      <c r="K37" s="91"/>
      <c r="L37" s="180" t="s">
        <v>2</v>
      </c>
      <c r="M37" s="172"/>
      <c r="N37" s="172"/>
      <c r="O37" s="178" t="s">
        <v>2</v>
      </c>
      <c r="P37" s="178" t="s">
        <v>2</v>
      </c>
      <c r="Q37" s="178"/>
      <c r="R37" s="178" t="s">
        <v>2</v>
      </c>
      <c r="S37" s="196" t="s">
        <v>2</v>
      </c>
      <c r="T37" s="54">
        <v>55</v>
      </c>
      <c r="U37" s="55">
        <v>56</v>
      </c>
      <c r="V37" s="185" t="s">
        <v>11</v>
      </c>
      <c r="W37" s="91" t="s">
        <v>2111</v>
      </c>
      <c r="X37" s="197"/>
      <c r="Y37" s="91"/>
      <c r="Z37" s="91" t="s">
        <v>239</v>
      </c>
      <c r="AA37" s="35"/>
      <c r="AB37" s="35" t="s">
        <v>1393</v>
      </c>
      <c r="AC37" s="154" t="s">
        <v>2537</v>
      </c>
      <c r="AD37" s="35"/>
      <c r="AE37" s="154" t="s">
        <v>2529</v>
      </c>
      <c r="AF37" s="110"/>
      <c r="AG37" s="154" t="s">
        <v>3043</v>
      </c>
      <c r="AH37" s="112"/>
      <c r="AI37" s="33"/>
      <c r="AJ37" s="91" t="s">
        <v>2608</v>
      </c>
      <c r="AK37" s="91"/>
      <c r="AL37" s="57"/>
      <c r="AM37" s="127" t="s">
        <v>1718</v>
      </c>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row>
    <row r="38" spans="1:74" ht="14.1" customHeight="1">
      <c r="A38" s="19"/>
      <c r="B38" s="91" t="s">
        <v>2075</v>
      </c>
      <c r="C38" s="93"/>
      <c r="D38" s="93"/>
      <c r="E38" s="91" t="s">
        <v>239</v>
      </c>
      <c r="F38" s="93"/>
      <c r="G38" s="91" t="s">
        <v>1410</v>
      </c>
      <c r="H38" s="182" t="s">
        <v>2481</v>
      </c>
      <c r="I38" s="93"/>
      <c r="J38" s="182" t="s">
        <v>2473</v>
      </c>
      <c r="K38" s="91"/>
      <c r="L38" s="182" t="s">
        <v>3004</v>
      </c>
      <c r="M38" s="93"/>
      <c r="N38" s="93"/>
      <c r="O38" s="91" t="s">
        <v>2597</v>
      </c>
      <c r="P38" s="91"/>
      <c r="Q38" s="91"/>
      <c r="R38" s="91" t="s">
        <v>1736</v>
      </c>
      <c r="S38" s="185" t="s">
        <v>10</v>
      </c>
      <c r="T38" s="54">
        <v>57</v>
      </c>
      <c r="U38" s="55">
        <v>58</v>
      </c>
      <c r="V38" s="196" t="s">
        <v>2</v>
      </c>
      <c r="W38" s="178" t="s">
        <v>2</v>
      </c>
      <c r="X38" s="178"/>
      <c r="Y38" s="91"/>
      <c r="Z38" s="178" t="s">
        <v>2</v>
      </c>
      <c r="AA38" s="35"/>
      <c r="AB38" s="32" t="s">
        <v>2</v>
      </c>
      <c r="AC38" s="155" t="s">
        <v>2</v>
      </c>
      <c r="AD38" s="32"/>
      <c r="AE38" s="155" t="s">
        <v>2</v>
      </c>
      <c r="AF38" s="108"/>
      <c r="AG38" s="155" t="s">
        <v>2</v>
      </c>
      <c r="AH38" s="108"/>
      <c r="AI38" s="32"/>
      <c r="AJ38" s="32" t="s">
        <v>2</v>
      </c>
      <c r="AK38" s="32" t="s">
        <v>2</v>
      </c>
      <c r="AL38" s="37"/>
      <c r="AM38" s="37" t="s">
        <v>2</v>
      </c>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row>
    <row r="39" spans="1:74" ht="14.1" customHeight="1">
      <c r="A39" s="19"/>
      <c r="B39" s="91" t="s">
        <v>2076</v>
      </c>
      <c r="C39" s="93"/>
      <c r="D39" s="93"/>
      <c r="E39" s="91" t="s">
        <v>239</v>
      </c>
      <c r="F39" s="93"/>
      <c r="G39" s="91" t="s">
        <v>1411</v>
      </c>
      <c r="H39" s="182" t="s">
        <v>2482</v>
      </c>
      <c r="I39" s="93"/>
      <c r="J39" s="182" t="s">
        <v>2474</v>
      </c>
      <c r="K39" s="91"/>
      <c r="L39" s="182" t="s">
        <v>3005</v>
      </c>
      <c r="M39" s="93"/>
      <c r="N39" s="93"/>
      <c r="O39" s="91" t="s">
        <v>2598</v>
      </c>
      <c r="P39" s="91"/>
      <c r="Q39" s="91"/>
      <c r="R39" s="91" t="s">
        <v>1737</v>
      </c>
      <c r="S39" s="185" t="s">
        <v>11</v>
      </c>
      <c r="T39" s="54">
        <v>59</v>
      </c>
      <c r="U39" s="55">
        <v>60</v>
      </c>
      <c r="V39" s="185" t="s">
        <v>10</v>
      </c>
      <c r="W39" s="91" t="s">
        <v>2110</v>
      </c>
      <c r="X39" s="197"/>
      <c r="Y39" s="197"/>
      <c r="Z39" s="91" t="s">
        <v>239</v>
      </c>
      <c r="AA39" s="35"/>
      <c r="AB39" s="35" t="s">
        <v>1394</v>
      </c>
      <c r="AC39" s="154" t="s">
        <v>2538</v>
      </c>
      <c r="AD39" s="35"/>
      <c r="AE39" s="154" t="s">
        <v>2530</v>
      </c>
      <c r="AF39" s="110"/>
      <c r="AG39" s="154" t="s">
        <v>3044</v>
      </c>
      <c r="AH39" s="112"/>
      <c r="AI39" s="33"/>
      <c r="AJ39" s="91" t="s">
        <v>2609</v>
      </c>
      <c r="AK39" s="91"/>
      <c r="AL39" s="57"/>
      <c r="AM39" s="127" t="s">
        <v>1723</v>
      </c>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row>
    <row r="40" spans="1:74" ht="14.1" customHeight="1">
      <c r="A40" s="19"/>
      <c r="B40" s="178" t="s">
        <v>2</v>
      </c>
      <c r="C40" s="178"/>
      <c r="D40" s="178"/>
      <c r="E40" s="178" t="s">
        <v>2</v>
      </c>
      <c r="F40" s="91"/>
      <c r="G40" s="178" t="s">
        <v>2</v>
      </c>
      <c r="H40" s="180" t="s">
        <v>2</v>
      </c>
      <c r="I40" s="178"/>
      <c r="J40" s="180" t="s">
        <v>2</v>
      </c>
      <c r="K40" s="93"/>
      <c r="L40" s="180" t="s">
        <v>2</v>
      </c>
      <c r="M40" s="178"/>
      <c r="N40" s="178"/>
      <c r="O40" s="178" t="s">
        <v>2</v>
      </c>
      <c r="P40" s="178" t="s">
        <v>2</v>
      </c>
      <c r="Q40" s="178"/>
      <c r="R40" s="178" t="s">
        <v>2</v>
      </c>
      <c r="S40" s="196" t="s">
        <v>2</v>
      </c>
      <c r="T40" s="54">
        <v>61</v>
      </c>
      <c r="U40" s="55">
        <v>62</v>
      </c>
      <c r="V40" s="185" t="s">
        <v>11</v>
      </c>
      <c r="W40" s="91" t="s">
        <v>2109</v>
      </c>
      <c r="X40" s="197"/>
      <c r="Y40" s="197"/>
      <c r="Z40" s="91" t="s">
        <v>239</v>
      </c>
      <c r="AA40" s="35"/>
      <c r="AB40" s="35" t="s">
        <v>1395</v>
      </c>
      <c r="AC40" s="154" t="s">
        <v>2539</v>
      </c>
      <c r="AD40" s="35"/>
      <c r="AE40" s="154" t="s">
        <v>2531</v>
      </c>
      <c r="AF40" s="110"/>
      <c r="AG40" s="154" t="s">
        <v>3045</v>
      </c>
      <c r="AH40" s="112"/>
      <c r="AI40" s="33"/>
      <c r="AJ40" s="91" t="s">
        <v>2610</v>
      </c>
      <c r="AK40" s="91"/>
      <c r="AL40" s="57"/>
      <c r="AM40" s="127" t="s">
        <v>1724</v>
      </c>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row>
    <row r="41" spans="1:74" ht="14.1" customHeight="1">
      <c r="A41" s="19"/>
      <c r="B41" s="91" t="s">
        <v>2077</v>
      </c>
      <c r="C41" s="197"/>
      <c r="D41" s="197"/>
      <c r="E41" s="91" t="s">
        <v>239</v>
      </c>
      <c r="F41" s="91"/>
      <c r="G41" s="91" t="s">
        <v>1177</v>
      </c>
      <c r="H41" s="182" t="s">
        <v>2483</v>
      </c>
      <c r="I41" s="91"/>
      <c r="J41" s="182" t="s">
        <v>2475</v>
      </c>
      <c r="K41" s="91"/>
      <c r="L41" s="182" t="s">
        <v>3006</v>
      </c>
      <c r="M41" s="91"/>
      <c r="N41" s="197"/>
      <c r="O41" s="91" t="s">
        <v>2599</v>
      </c>
      <c r="P41" s="91"/>
      <c r="Q41" s="91"/>
      <c r="R41" s="91" t="s">
        <v>1730</v>
      </c>
      <c r="S41" s="185" t="s">
        <v>10</v>
      </c>
      <c r="T41" s="54">
        <v>63</v>
      </c>
      <c r="U41" s="55">
        <v>64</v>
      </c>
      <c r="V41" s="196" t="s">
        <v>2</v>
      </c>
      <c r="W41" s="178" t="s">
        <v>2</v>
      </c>
      <c r="X41" s="172"/>
      <c r="Y41" s="91"/>
      <c r="Z41" s="178" t="s">
        <v>2</v>
      </c>
      <c r="AA41" s="35"/>
      <c r="AB41" s="32" t="s">
        <v>2</v>
      </c>
      <c r="AC41" s="155" t="s">
        <v>2</v>
      </c>
      <c r="AD41" s="36"/>
      <c r="AE41" s="155" t="s">
        <v>2</v>
      </c>
      <c r="AF41" s="111"/>
      <c r="AG41" s="155" t="s">
        <v>2</v>
      </c>
      <c r="AH41" s="111"/>
      <c r="AI41" s="36"/>
      <c r="AJ41" s="32" t="s">
        <v>2</v>
      </c>
      <c r="AK41" s="32" t="s">
        <v>2</v>
      </c>
      <c r="AL41" s="37"/>
      <c r="AM41" s="37" t="s">
        <v>2</v>
      </c>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row>
    <row r="42" spans="1:74" ht="14.1" customHeight="1">
      <c r="A42" s="19"/>
      <c r="B42" s="91" t="s">
        <v>2078</v>
      </c>
      <c r="C42" s="197"/>
      <c r="D42" s="197"/>
      <c r="E42" s="91" t="s">
        <v>239</v>
      </c>
      <c r="F42" s="91"/>
      <c r="G42" s="91" t="s">
        <v>1178</v>
      </c>
      <c r="H42" s="182" t="s">
        <v>2484</v>
      </c>
      <c r="I42" s="91"/>
      <c r="J42" s="182" t="s">
        <v>2476</v>
      </c>
      <c r="K42" s="91"/>
      <c r="L42" s="182" t="s">
        <v>3007</v>
      </c>
      <c r="M42" s="91"/>
      <c r="N42" s="197"/>
      <c r="O42" s="91" t="s">
        <v>2600</v>
      </c>
      <c r="P42" s="91"/>
      <c r="Q42" s="91"/>
      <c r="R42" s="91" t="s">
        <v>1731</v>
      </c>
      <c r="S42" s="185" t="s">
        <v>11</v>
      </c>
      <c r="T42" s="54">
        <v>65</v>
      </c>
      <c r="U42" s="55">
        <v>66</v>
      </c>
      <c r="V42" s="185" t="s">
        <v>10</v>
      </c>
      <c r="W42" s="91" t="s">
        <v>2108</v>
      </c>
      <c r="X42" s="197"/>
      <c r="Y42" s="91"/>
      <c r="Z42" s="91" t="s">
        <v>239</v>
      </c>
      <c r="AA42" s="35"/>
      <c r="AB42" s="35" t="s">
        <v>2067</v>
      </c>
      <c r="AC42" s="154" t="s">
        <v>2540</v>
      </c>
      <c r="AD42" s="35"/>
      <c r="AE42" s="154" t="s">
        <v>2532</v>
      </c>
      <c r="AF42" s="110"/>
      <c r="AG42" s="154" t="s">
        <v>3046</v>
      </c>
      <c r="AH42" s="112"/>
      <c r="AI42" s="33"/>
      <c r="AJ42" s="91" t="s">
        <v>2611</v>
      </c>
      <c r="AK42" s="91" t="s">
        <v>1705</v>
      </c>
      <c r="AL42" s="57"/>
      <c r="AM42" s="127" t="s">
        <v>1725</v>
      </c>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row>
    <row r="43" spans="1:74" ht="14.1" customHeight="1">
      <c r="A43" s="19"/>
      <c r="B43" s="178" t="s">
        <v>2</v>
      </c>
      <c r="C43" s="172"/>
      <c r="D43" s="172"/>
      <c r="E43" s="178" t="s">
        <v>2</v>
      </c>
      <c r="F43" s="172"/>
      <c r="G43" s="178" t="s">
        <v>2</v>
      </c>
      <c r="H43" s="180" t="s">
        <v>2</v>
      </c>
      <c r="I43" s="172"/>
      <c r="J43" s="180" t="s">
        <v>2</v>
      </c>
      <c r="K43" s="91"/>
      <c r="L43" s="180" t="s">
        <v>2</v>
      </c>
      <c r="M43" s="172"/>
      <c r="N43" s="172"/>
      <c r="O43" s="178" t="s">
        <v>2</v>
      </c>
      <c r="P43" s="178" t="s">
        <v>2</v>
      </c>
      <c r="Q43" s="178"/>
      <c r="R43" s="178" t="s">
        <v>2</v>
      </c>
      <c r="S43" s="196" t="s">
        <v>2</v>
      </c>
      <c r="T43" s="54">
        <v>67</v>
      </c>
      <c r="U43" s="55">
        <v>68</v>
      </c>
      <c r="V43" s="185" t="s">
        <v>11</v>
      </c>
      <c r="W43" s="91" t="s">
        <v>2107</v>
      </c>
      <c r="X43" s="197"/>
      <c r="Y43" s="197"/>
      <c r="Z43" s="91" t="s">
        <v>239</v>
      </c>
      <c r="AA43" s="35"/>
      <c r="AB43" s="35" t="s">
        <v>2068</v>
      </c>
      <c r="AC43" s="154" t="s">
        <v>2541</v>
      </c>
      <c r="AD43" s="35"/>
      <c r="AE43" s="154" t="s">
        <v>2533</v>
      </c>
      <c r="AF43" s="110"/>
      <c r="AG43" s="154" t="s">
        <v>3047</v>
      </c>
      <c r="AH43" s="112"/>
      <c r="AI43" s="33"/>
      <c r="AJ43" s="91" t="s">
        <v>2612</v>
      </c>
      <c r="AK43" s="91" t="s">
        <v>1706</v>
      </c>
      <c r="AL43" s="57"/>
      <c r="AM43" s="127" t="s">
        <v>1726</v>
      </c>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row>
    <row r="44" spans="1:74" ht="14.1" customHeight="1">
      <c r="A44" s="19"/>
      <c r="B44" s="91" t="s">
        <v>2079</v>
      </c>
      <c r="C44" s="197"/>
      <c r="D44" s="197"/>
      <c r="E44" s="91" t="s">
        <v>2249</v>
      </c>
      <c r="F44" s="91"/>
      <c r="G44" s="91" t="s">
        <v>1179</v>
      </c>
      <c r="H44" s="182" t="s">
        <v>3144</v>
      </c>
      <c r="I44" s="91"/>
      <c r="J44" s="184" t="s">
        <v>2467</v>
      </c>
      <c r="K44" s="91"/>
      <c r="L44" s="184" t="s">
        <v>3008</v>
      </c>
      <c r="M44" s="91"/>
      <c r="N44" s="197"/>
      <c r="O44" s="91" t="s">
        <v>2147</v>
      </c>
      <c r="P44" s="91"/>
      <c r="Q44" s="91"/>
      <c r="R44" s="91" t="s">
        <v>1744</v>
      </c>
      <c r="S44" s="198" t="s">
        <v>32</v>
      </c>
      <c r="T44" s="54">
        <v>69</v>
      </c>
      <c r="U44" s="55">
        <v>70</v>
      </c>
      <c r="V44" s="196" t="s">
        <v>2</v>
      </c>
      <c r="W44" s="178" t="s">
        <v>2</v>
      </c>
      <c r="X44" s="178"/>
      <c r="Y44" s="178"/>
      <c r="Z44" s="178" t="s">
        <v>2</v>
      </c>
      <c r="AA44" s="35"/>
      <c r="AB44" s="32" t="s">
        <v>2</v>
      </c>
      <c r="AC44" s="155" t="s">
        <v>2</v>
      </c>
      <c r="AD44" s="32"/>
      <c r="AE44" s="155" t="s">
        <v>2</v>
      </c>
      <c r="AF44" s="108"/>
      <c r="AG44" s="155" t="s">
        <v>2</v>
      </c>
      <c r="AH44" s="108"/>
      <c r="AI44" s="32"/>
      <c r="AJ44" s="32" t="s">
        <v>2</v>
      </c>
      <c r="AK44" s="32" t="s">
        <v>2</v>
      </c>
      <c r="AL44" s="37"/>
      <c r="AM44" s="37" t="s">
        <v>2</v>
      </c>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row>
    <row r="45" spans="1:74" ht="14.1" customHeight="1">
      <c r="A45" s="19"/>
      <c r="B45" s="91" t="s">
        <v>2080</v>
      </c>
      <c r="C45" s="197"/>
      <c r="D45" s="197"/>
      <c r="E45" s="91" t="s">
        <v>2250</v>
      </c>
      <c r="F45" s="91"/>
      <c r="G45" s="91" t="s">
        <v>1180</v>
      </c>
      <c r="H45" s="182" t="s">
        <v>3145</v>
      </c>
      <c r="I45" s="91"/>
      <c r="J45" s="184" t="s">
        <v>2468</v>
      </c>
      <c r="K45" s="91"/>
      <c r="L45" s="184" t="s">
        <v>3009</v>
      </c>
      <c r="M45" s="91"/>
      <c r="N45" s="197"/>
      <c r="O45" s="91" t="s">
        <v>2148</v>
      </c>
      <c r="P45" s="91"/>
      <c r="Q45" s="91"/>
      <c r="R45" s="91" t="s">
        <v>1745</v>
      </c>
      <c r="S45" s="198" t="s">
        <v>33</v>
      </c>
      <c r="T45" s="54">
        <v>71</v>
      </c>
      <c r="U45" s="55">
        <v>72</v>
      </c>
      <c r="V45" s="198" t="s">
        <v>30</v>
      </c>
      <c r="W45" s="91" t="s">
        <v>2106</v>
      </c>
      <c r="X45" s="197"/>
      <c r="Y45" s="91"/>
      <c r="Z45" s="91" t="s">
        <v>2267</v>
      </c>
      <c r="AA45" s="35"/>
      <c r="AB45" s="35" t="s">
        <v>1142</v>
      </c>
      <c r="AC45" s="154" t="s">
        <v>3154</v>
      </c>
      <c r="AD45" s="34"/>
      <c r="AE45" s="158" t="s">
        <v>2524</v>
      </c>
      <c r="AF45" s="109"/>
      <c r="AG45" s="158" t="s">
        <v>3048</v>
      </c>
      <c r="AH45" s="109"/>
      <c r="AI45" s="33"/>
      <c r="AJ45" s="91" t="s">
        <v>2165</v>
      </c>
      <c r="AK45" s="91"/>
      <c r="AL45" s="57"/>
      <c r="AM45" s="127" t="s">
        <v>1742</v>
      </c>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row>
    <row r="46" spans="1:74" ht="14.1" customHeight="1">
      <c r="A46" s="19"/>
      <c r="B46" s="178" t="s">
        <v>2</v>
      </c>
      <c r="C46" s="178"/>
      <c r="D46" s="178"/>
      <c r="E46" s="178" t="s">
        <v>2</v>
      </c>
      <c r="F46" s="178"/>
      <c r="G46" s="178" t="s">
        <v>2</v>
      </c>
      <c r="H46" s="180" t="s">
        <v>2</v>
      </c>
      <c r="I46" s="178"/>
      <c r="J46" s="180" t="s">
        <v>2</v>
      </c>
      <c r="K46" s="91"/>
      <c r="L46" s="180" t="s">
        <v>2</v>
      </c>
      <c r="M46" s="178"/>
      <c r="N46" s="178"/>
      <c r="O46" s="178" t="s">
        <v>2</v>
      </c>
      <c r="P46" s="178" t="s">
        <v>2</v>
      </c>
      <c r="Q46" s="178"/>
      <c r="R46" s="178" t="s">
        <v>2</v>
      </c>
      <c r="S46" s="196" t="s">
        <v>2</v>
      </c>
      <c r="T46" s="54">
        <v>73</v>
      </c>
      <c r="U46" s="55">
        <v>74</v>
      </c>
      <c r="V46" s="198" t="s">
        <v>31</v>
      </c>
      <c r="W46" s="91" t="s">
        <v>2105</v>
      </c>
      <c r="X46" s="197"/>
      <c r="Y46" s="91"/>
      <c r="Z46" s="91" t="s">
        <v>2268</v>
      </c>
      <c r="AA46" s="35"/>
      <c r="AB46" s="35" t="s">
        <v>1143</v>
      </c>
      <c r="AC46" s="154" t="s">
        <v>3155</v>
      </c>
      <c r="AD46" s="34"/>
      <c r="AE46" s="158" t="s">
        <v>2525</v>
      </c>
      <c r="AF46" s="109"/>
      <c r="AG46" s="158" t="s">
        <v>3049</v>
      </c>
      <c r="AH46" s="109"/>
      <c r="AI46" s="33"/>
      <c r="AJ46" s="91" t="s">
        <v>2166</v>
      </c>
      <c r="AK46" s="91"/>
      <c r="AL46" s="57"/>
      <c r="AM46" s="127" t="s">
        <v>1743</v>
      </c>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row>
    <row r="47" spans="1:74" ht="14.1" customHeight="1">
      <c r="A47" s="19"/>
      <c r="B47" s="91" t="s">
        <v>2081</v>
      </c>
      <c r="C47" s="197"/>
      <c r="D47" s="197"/>
      <c r="E47" s="91" t="s">
        <v>1864</v>
      </c>
      <c r="F47" s="91"/>
      <c r="G47" s="91" t="s">
        <v>1183</v>
      </c>
      <c r="H47" s="182" t="s">
        <v>3146</v>
      </c>
      <c r="I47" s="91"/>
      <c r="J47" s="182" t="s">
        <v>2477</v>
      </c>
      <c r="K47" s="91"/>
      <c r="L47" s="182" t="s">
        <v>3010</v>
      </c>
      <c r="M47" s="91"/>
      <c r="N47" s="197"/>
      <c r="O47" s="91" t="s">
        <v>1667</v>
      </c>
      <c r="P47" s="91"/>
      <c r="Q47" s="91"/>
      <c r="R47" s="91" t="s">
        <v>46</v>
      </c>
      <c r="S47" s="185" t="s">
        <v>10</v>
      </c>
      <c r="T47" s="54">
        <v>75</v>
      </c>
      <c r="U47" s="55">
        <v>76</v>
      </c>
      <c r="V47" s="199" t="s">
        <v>9</v>
      </c>
      <c r="W47" s="172" t="s">
        <v>1654</v>
      </c>
      <c r="X47" s="172"/>
      <c r="Y47" s="172"/>
      <c r="Z47" s="172" t="s">
        <v>557</v>
      </c>
      <c r="AA47" s="35"/>
      <c r="AB47" s="36" t="s">
        <v>1006</v>
      </c>
      <c r="AC47" s="153" t="s">
        <v>2180</v>
      </c>
      <c r="AD47" s="36"/>
      <c r="AE47" s="226" t="s">
        <v>239</v>
      </c>
      <c r="AF47" s="111"/>
      <c r="AG47" s="226" t="s">
        <v>239</v>
      </c>
      <c r="AH47" s="111"/>
      <c r="AI47" s="36"/>
      <c r="AJ47" s="36" t="s">
        <v>2613</v>
      </c>
      <c r="AK47" s="36" t="s">
        <v>413</v>
      </c>
      <c r="AL47" s="38"/>
      <c r="AM47" s="38" t="s">
        <v>413</v>
      </c>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row>
    <row r="48" spans="1:74" ht="14.1" customHeight="1">
      <c r="A48" s="19"/>
      <c r="B48" s="91" t="s">
        <v>2082</v>
      </c>
      <c r="C48" s="197"/>
      <c r="D48" s="197"/>
      <c r="E48" s="91" t="s">
        <v>1865</v>
      </c>
      <c r="F48" s="91"/>
      <c r="G48" s="91" t="s">
        <v>1184</v>
      </c>
      <c r="H48" s="182" t="s">
        <v>3147</v>
      </c>
      <c r="I48" s="91"/>
      <c r="J48" s="182" t="s">
        <v>2478</v>
      </c>
      <c r="K48" s="91"/>
      <c r="L48" s="182" t="s">
        <v>3011</v>
      </c>
      <c r="M48" s="91"/>
      <c r="N48" s="197"/>
      <c r="O48" s="91" t="s">
        <v>1668</v>
      </c>
      <c r="P48" s="91"/>
      <c r="Q48" s="91"/>
      <c r="R48" s="91" t="s">
        <v>48</v>
      </c>
      <c r="S48" s="185" t="s">
        <v>11</v>
      </c>
      <c r="T48" s="54">
        <v>77</v>
      </c>
      <c r="U48" s="55">
        <v>78</v>
      </c>
      <c r="V48" s="185" t="s">
        <v>10</v>
      </c>
      <c r="W48" s="91" t="s">
        <v>2104</v>
      </c>
      <c r="X48" s="93"/>
      <c r="Y48" s="93"/>
      <c r="Z48" s="91" t="s">
        <v>1888</v>
      </c>
      <c r="AA48" s="35"/>
      <c r="AB48" s="35" t="s">
        <v>1146</v>
      </c>
      <c r="AC48" s="154" t="s">
        <v>3156</v>
      </c>
      <c r="AD48" s="34"/>
      <c r="AE48" s="154" t="s">
        <v>2534</v>
      </c>
      <c r="AF48" s="109"/>
      <c r="AG48" s="154" t="s">
        <v>3050</v>
      </c>
      <c r="AH48" s="109"/>
      <c r="AI48" s="34"/>
      <c r="AJ48" s="91" t="s">
        <v>1679</v>
      </c>
      <c r="AK48" s="91"/>
      <c r="AL48" s="57"/>
      <c r="AM48" s="127" t="s">
        <v>101</v>
      </c>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row>
    <row r="49" spans="1:74" ht="14.1" customHeight="1">
      <c r="A49" s="19"/>
      <c r="B49" s="91" t="s">
        <v>2083</v>
      </c>
      <c r="C49" s="172"/>
      <c r="D49" s="172"/>
      <c r="E49" s="91" t="s">
        <v>1922</v>
      </c>
      <c r="F49" s="172"/>
      <c r="G49" s="91" t="s">
        <v>1181</v>
      </c>
      <c r="H49" s="182" t="s">
        <v>3148</v>
      </c>
      <c r="I49" s="172"/>
      <c r="J49" s="182" t="s">
        <v>2479</v>
      </c>
      <c r="K49" s="91"/>
      <c r="L49" s="182" t="s">
        <v>3012</v>
      </c>
      <c r="M49" s="172"/>
      <c r="N49" s="172"/>
      <c r="O49" s="91" t="s">
        <v>2145</v>
      </c>
      <c r="P49" s="91"/>
      <c r="Q49" s="91"/>
      <c r="R49" s="91" t="s">
        <v>50</v>
      </c>
      <c r="S49" s="185" t="s">
        <v>10</v>
      </c>
      <c r="T49" s="54">
        <v>79</v>
      </c>
      <c r="U49" s="55">
        <v>80</v>
      </c>
      <c r="V49" s="185" t="s">
        <v>11</v>
      </c>
      <c r="W49" s="91" t="s">
        <v>2103</v>
      </c>
      <c r="X49" s="93"/>
      <c r="Y49" s="91"/>
      <c r="Z49" s="91" t="s">
        <v>1889</v>
      </c>
      <c r="AA49" s="35"/>
      <c r="AB49" s="35" t="s">
        <v>1147</v>
      </c>
      <c r="AC49" s="154" t="s">
        <v>3157</v>
      </c>
      <c r="AD49" s="34"/>
      <c r="AE49" s="154" t="s">
        <v>2535</v>
      </c>
      <c r="AF49" s="109"/>
      <c r="AG49" s="154" t="s">
        <v>3051</v>
      </c>
      <c r="AH49" s="109"/>
      <c r="AI49" s="34"/>
      <c r="AJ49" s="91" t="s">
        <v>1680</v>
      </c>
      <c r="AK49" s="91"/>
      <c r="AL49" s="57"/>
      <c r="AM49" s="127" t="s">
        <v>102</v>
      </c>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row>
    <row r="50" spans="1:74" ht="14.1" customHeight="1">
      <c r="A50" s="19"/>
      <c r="B50" s="91" t="s">
        <v>2084</v>
      </c>
      <c r="C50" s="197"/>
      <c r="D50" s="93"/>
      <c r="E50" s="91" t="s">
        <v>1923</v>
      </c>
      <c r="F50" s="91"/>
      <c r="G50" s="91" t="s">
        <v>1182</v>
      </c>
      <c r="H50" s="182" t="s">
        <v>3149</v>
      </c>
      <c r="I50" s="91"/>
      <c r="J50" s="182" t="s">
        <v>2480</v>
      </c>
      <c r="K50" s="91"/>
      <c r="L50" s="182" t="s">
        <v>3013</v>
      </c>
      <c r="M50" s="91"/>
      <c r="N50" s="197"/>
      <c r="O50" s="91" t="s">
        <v>2146</v>
      </c>
      <c r="P50" s="91"/>
      <c r="Q50" s="91"/>
      <c r="R50" s="91" t="s">
        <v>52</v>
      </c>
      <c r="S50" s="185" t="s">
        <v>11</v>
      </c>
      <c r="T50" s="54">
        <v>81</v>
      </c>
      <c r="U50" s="55">
        <v>82</v>
      </c>
      <c r="V50" s="185" t="s">
        <v>10</v>
      </c>
      <c r="W50" s="91" t="s">
        <v>2102</v>
      </c>
      <c r="X50" s="178"/>
      <c r="Y50" s="91"/>
      <c r="Z50" s="91" t="s">
        <v>2269</v>
      </c>
      <c r="AA50" s="35"/>
      <c r="AB50" s="35" t="s">
        <v>1150</v>
      </c>
      <c r="AC50" s="154" t="s">
        <v>3158</v>
      </c>
      <c r="AD50" s="32"/>
      <c r="AE50" s="154" t="s">
        <v>2536</v>
      </c>
      <c r="AF50" s="108"/>
      <c r="AG50" s="154" t="s">
        <v>3052</v>
      </c>
      <c r="AH50" s="108"/>
      <c r="AI50" s="32"/>
      <c r="AJ50" s="91" t="s">
        <v>1683</v>
      </c>
      <c r="AK50" s="91"/>
      <c r="AL50" s="57"/>
      <c r="AM50" s="127" t="s">
        <v>99</v>
      </c>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row>
    <row r="51" spans="1:74" ht="14.1" customHeight="1">
      <c r="A51" s="19"/>
      <c r="B51" s="172" t="s">
        <v>4</v>
      </c>
      <c r="C51" s="197"/>
      <c r="D51" s="93"/>
      <c r="E51" s="172" t="s">
        <v>236</v>
      </c>
      <c r="F51" s="91"/>
      <c r="G51" s="172" t="s">
        <v>236</v>
      </c>
      <c r="H51" s="176" t="s">
        <v>4</v>
      </c>
      <c r="I51" s="91"/>
      <c r="J51" s="176" t="s">
        <v>4</v>
      </c>
      <c r="K51" s="91"/>
      <c r="L51" s="176" t="s">
        <v>4</v>
      </c>
      <c r="M51" s="91"/>
      <c r="N51" s="197"/>
      <c r="O51" s="172" t="s">
        <v>239</v>
      </c>
      <c r="P51" s="172" t="s">
        <v>4</v>
      </c>
      <c r="Q51" s="172"/>
      <c r="R51" s="172" t="s">
        <v>4</v>
      </c>
      <c r="S51" s="199" t="s">
        <v>6</v>
      </c>
      <c r="T51" s="54">
        <v>83</v>
      </c>
      <c r="U51" s="55">
        <v>84</v>
      </c>
      <c r="V51" s="185" t="s">
        <v>11</v>
      </c>
      <c r="W51" s="91" t="s">
        <v>2101</v>
      </c>
      <c r="X51" s="197"/>
      <c r="Y51" s="197"/>
      <c r="Z51" s="91" t="s">
        <v>2270</v>
      </c>
      <c r="AA51" s="35"/>
      <c r="AB51" s="35" t="s">
        <v>1151</v>
      </c>
      <c r="AC51" s="154" t="s">
        <v>3159</v>
      </c>
      <c r="AD51" s="35"/>
      <c r="AE51" s="154" t="s">
        <v>2537</v>
      </c>
      <c r="AF51" s="112"/>
      <c r="AG51" s="154" t="s">
        <v>3053</v>
      </c>
      <c r="AH51" s="112"/>
      <c r="AI51" s="33"/>
      <c r="AJ51" s="91" t="s">
        <v>1684</v>
      </c>
      <c r="AK51" s="91"/>
      <c r="AL51" s="57"/>
      <c r="AM51" s="127" t="s">
        <v>100</v>
      </c>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row>
    <row r="52" spans="1:74" ht="14.1" customHeight="1">
      <c r="A52" s="19"/>
      <c r="B52" s="91" t="s">
        <v>2085</v>
      </c>
      <c r="C52" s="178"/>
      <c r="D52" s="178"/>
      <c r="E52" s="91" t="s">
        <v>1920</v>
      </c>
      <c r="F52" s="178"/>
      <c r="G52" s="91" t="s">
        <v>1174</v>
      </c>
      <c r="H52" s="182" t="s">
        <v>3150</v>
      </c>
      <c r="I52" s="178"/>
      <c r="J52" s="182" t="s">
        <v>2481</v>
      </c>
      <c r="K52" s="91"/>
      <c r="L52" s="182" t="s">
        <v>3014</v>
      </c>
      <c r="M52" s="178"/>
      <c r="N52" s="178"/>
      <c r="O52" s="91" t="s">
        <v>1665</v>
      </c>
      <c r="P52" s="91"/>
      <c r="Q52" s="91"/>
      <c r="R52" s="91" t="s">
        <v>62</v>
      </c>
      <c r="S52" s="185" t="s">
        <v>10</v>
      </c>
      <c r="T52" s="54">
        <v>85</v>
      </c>
      <c r="U52" s="55">
        <v>86</v>
      </c>
      <c r="V52" s="196" t="s">
        <v>2</v>
      </c>
      <c r="W52" s="178" t="s">
        <v>2</v>
      </c>
      <c r="X52" s="197"/>
      <c r="Y52" s="197"/>
      <c r="Z52" s="178" t="s">
        <v>2</v>
      </c>
      <c r="AA52" s="35"/>
      <c r="AB52" s="32" t="s">
        <v>2</v>
      </c>
      <c r="AC52" s="155" t="s">
        <v>2</v>
      </c>
      <c r="AD52" s="35"/>
      <c r="AE52" s="155" t="s">
        <v>2</v>
      </c>
      <c r="AF52" s="112"/>
      <c r="AG52" s="155" t="s">
        <v>2</v>
      </c>
      <c r="AH52" s="112"/>
      <c r="AI52" s="33"/>
      <c r="AJ52" s="32" t="s">
        <v>2</v>
      </c>
      <c r="AK52" s="32" t="s">
        <v>2</v>
      </c>
      <c r="AL52" s="37"/>
      <c r="AM52" s="37" t="s">
        <v>2</v>
      </c>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row>
    <row r="53" spans="1:74" ht="14.1" customHeight="1">
      <c r="A53" s="19"/>
      <c r="B53" s="91" t="s">
        <v>2086</v>
      </c>
      <c r="C53" s="197"/>
      <c r="D53" s="197"/>
      <c r="E53" s="91" t="s">
        <v>1921</v>
      </c>
      <c r="F53" s="91"/>
      <c r="G53" s="91" t="s">
        <v>1061</v>
      </c>
      <c r="H53" s="182" t="s">
        <v>3151</v>
      </c>
      <c r="I53" s="91"/>
      <c r="J53" s="182" t="s">
        <v>2482</v>
      </c>
      <c r="K53" s="91"/>
      <c r="L53" s="182" t="s">
        <v>3015</v>
      </c>
      <c r="M53" s="91"/>
      <c r="N53" s="197"/>
      <c r="O53" s="91" t="s">
        <v>1666</v>
      </c>
      <c r="P53" s="91"/>
      <c r="Q53" s="91"/>
      <c r="R53" s="91" t="s">
        <v>64</v>
      </c>
      <c r="S53" s="185" t="s">
        <v>11</v>
      </c>
      <c r="T53" s="54">
        <v>87</v>
      </c>
      <c r="U53" s="55">
        <v>88</v>
      </c>
      <c r="V53" s="198" t="s">
        <v>30</v>
      </c>
      <c r="W53" s="93" t="s">
        <v>2100</v>
      </c>
      <c r="X53" s="172"/>
      <c r="Y53" s="172"/>
      <c r="Z53" s="93" t="s">
        <v>1884</v>
      </c>
      <c r="AA53" s="34"/>
      <c r="AB53" s="34" t="s">
        <v>1136</v>
      </c>
      <c r="AC53" s="158" t="s">
        <v>3160</v>
      </c>
      <c r="AD53" s="36"/>
      <c r="AE53" s="225" t="s">
        <v>2538</v>
      </c>
      <c r="AF53" s="111"/>
      <c r="AG53" s="225" t="s">
        <v>3054</v>
      </c>
      <c r="AH53" s="111"/>
      <c r="AI53" s="36"/>
      <c r="AJ53" s="91" t="s">
        <v>1685</v>
      </c>
      <c r="AK53" s="91"/>
      <c r="AL53" s="57"/>
      <c r="AM53" s="127" t="s">
        <v>152</v>
      </c>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row>
    <row r="54" spans="1:74" ht="14.1" customHeight="1">
      <c r="A54" s="19"/>
      <c r="B54" s="93" t="s">
        <v>2087</v>
      </c>
      <c r="C54" s="197"/>
      <c r="D54" s="197"/>
      <c r="E54" s="93" t="s">
        <v>1862</v>
      </c>
      <c r="F54" s="91"/>
      <c r="G54" s="91" t="s">
        <v>1175</v>
      </c>
      <c r="H54" s="184" t="s">
        <v>3152</v>
      </c>
      <c r="I54" s="91"/>
      <c r="J54" s="227" t="s">
        <v>2483</v>
      </c>
      <c r="K54" s="93"/>
      <c r="L54" s="227" t="s">
        <v>3016</v>
      </c>
      <c r="M54" s="91"/>
      <c r="N54" s="197"/>
      <c r="O54" s="91" t="s">
        <v>1669</v>
      </c>
      <c r="P54" s="91"/>
      <c r="Q54" s="91"/>
      <c r="R54" s="91" t="s">
        <v>53</v>
      </c>
      <c r="S54" s="198" t="s">
        <v>32</v>
      </c>
      <c r="T54" s="54">
        <v>89</v>
      </c>
      <c r="U54" s="55">
        <v>90</v>
      </c>
      <c r="V54" s="198" t="s">
        <v>31</v>
      </c>
      <c r="W54" s="93" t="s">
        <v>2099</v>
      </c>
      <c r="X54" s="197"/>
      <c r="Y54" s="197"/>
      <c r="Z54" s="93" t="s">
        <v>1885</v>
      </c>
      <c r="AA54" s="34"/>
      <c r="AB54" s="34" t="s">
        <v>1137</v>
      </c>
      <c r="AC54" s="158" t="s">
        <v>3161</v>
      </c>
      <c r="AD54" s="35"/>
      <c r="AE54" s="225" t="s">
        <v>2539</v>
      </c>
      <c r="AF54" s="112"/>
      <c r="AG54" s="225" t="s">
        <v>3055</v>
      </c>
      <c r="AH54" s="112"/>
      <c r="AI54" s="33"/>
      <c r="AJ54" s="91" t="s">
        <v>1686</v>
      </c>
      <c r="AK54" s="91"/>
      <c r="AL54" s="57"/>
      <c r="AM54" s="127" t="s">
        <v>153</v>
      </c>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row>
    <row r="55" spans="1:74" ht="14.1" customHeight="1">
      <c r="A55" s="19"/>
      <c r="B55" s="93" t="s">
        <v>2088</v>
      </c>
      <c r="C55" s="197"/>
      <c r="D55" s="197"/>
      <c r="E55" s="93" t="s">
        <v>1863</v>
      </c>
      <c r="F55" s="91"/>
      <c r="G55" s="91" t="s">
        <v>1176</v>
      </c>
      <c r="H55" s="184" t="s">
        <v>3153</v>
      </c>
      <c r="I55" s="91"/>
      <c r="J55" s="227" t="s">
        <v>2484</v>
      </c>
      <c r="K55" s="93"/>
      <c r="L55" s="227" t="s">
        <v>3017</v>
      </c>
      <c r="M55" s="91"/>
      <c r="N55" s="197"/>
      <c r="O55" s="91" t="s">
        <v>1670</v>
      </c>
      <c r="P55" s="91"/>
      <c r="Q55" s="91"/>
      <c r="R55" s="91" t="s">
        <v>54</v>
      </c>
      <c r="S55" s="198" t="s">
        <v>33</v>
      </c>
      <c r="T55" s="54">
        <v>91</v>
      </c>
      <c r="U55" s="55">
        <v>92</v>
      </c>
      <c r="V55" s="185" t="s">
        <v>10</v>
      </c>
      <c r="W55" s="91" t="s">
        <v>2098</v>
      </c>
      <c r="X55" s="197"/>
      <c r="Y55" s="197"/>
      <c r="Z55" s="91" t="s">
        <v>1886</v>
      </c>
      <c r="AA55" s="35"/>
      <c r="AB55" s="35" t="s">
        <v>1140</v>
      </c>
      <c r="AC55" s="154" t="s">
        <v>3163</v>
      </c>
      <c r="AD55" s="35"/>
      <c r="AE55" s="154" t="s">
        <v>2540</v>
      </c>
      <c r="AF55" s="112"/>
      <c r="AG55" s="154" t="s">
        <v>3056</v>
      </c>
      <c r="AH55" s="112"/>
      <c r="AI55" s="33"/>
      <c r="AJ55" s="91" t="s">
        <v>1681</v>
      </c>
      <c r="AK55" s="91"/>
      <c r="AL55" s="57"/>
      <c r="AM55" s="127" t="s">
        <v>156</v>
      </c>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row>
    <row r="56" spans="1:74" ht="14.1" customHeight="1">
      <c r="A56" s="19"/>
      <c r="B56" s="178" t="s">
        <v>2</v>
      </c>
      <c r="C56" s="197"/>
      <c r="D56" s="197"/>
      <c r="E56" s="178" t="s">
        <v>2</v>
      </c>
      <c r="F56" s="91"/>
      <c r="G56" s="178" t="s">
        <v>2</v>
      </c>
      <c r="H56" s="180" t="s">
        <v>2</v>
      </c>
      <c r="I56" s="91"/>
      <c r="J56" s="180" t="s">
        <v>2</v>
      </c>
      <c r="K56" s="91"/>
      <c r="L56" s="180" t="s">
        <v>2</v>
      </c>
      <c r="M56" s="91"/>
      <c r="N56" s="197"/>
      <c r="O56" s="178" t="s">
        <v>2</v>
      </c>
      <c r="P56" s="178" t="s">
        <v>2</v>
      </c>
      <c r="Q56" s="178"/>
      <c r="R56" s="178" t="s">
        <v>2</v>
      </c>
      <c r="S56" s="196" t="s">
        <v>2</v>
      </c>
      <c r="T56" s="54">
        <v>93</v>
      </c>
      <c r="U56" s="55">
        <v>94</v>
      </c>
      <c r="V56" s="185" t="s">
        <v>11</v>
      </c>
      <c r="W56" s="91" t="s">
        <v>2097</v>
      </c>
      <c r="X56" s="197"/>
      <c r="Y56" s="197"/>
      <c r="Z56" s="91" t="s">
        <v>1887</v>
      </c>
      <c r="AA56" s="35"/>
      <c r="AB56" s="35" t="s">
        <v>1141</v>
      </c>
      <c r="AC56" s="154" t="s">
        <v>3162</v>
      </c>
      <c r="AD56" s="35"/>
      <c r="AE56" s="154" t="s">
        <v>2541</v>
      </c>
      <c r="AF56" s="112"/>
      <c r="AG56" s="154" t="s">
        <v>3057</v>
      </c>
      <c r="AH56" s="112"/>
      <c r="AI56" s="33"/>
      <c r="AJ56" s="91" t="s">
        <v>1682</v>
      </c>
      <c r="AK56" s="91"/>
      <c r="AL56" s="57"/>
      <c r="AM56" s="127" t="s">
        <v>157</v>
      </c>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row>
    <row r="57" spans="1:74" ht="14.1" customHeight="1">
      <c r="A57" s="19"/>
      <c r="B57" s="91" t="s">
        <v>2089</v>
      </c>
      <c r="C57" s="172"/>
      <c r="D57" s="172"/>
      <c r="E57" s="91" t="s">
        <v>1924</v>
      </c>
      <c r="F57" s="172"/>
      <c r="G57" s="91" t="s">
        <v>1185</v>
      </c>
      <c r="H57" s="182" t="s">
        <v>2494</v>
      </c>
      <c r="I57" s="172"/>
      <c r="J57" s="182" t="s">
        <v>239</v>
      </c>
      <c r="K57" s="91"/>
      <c r="L57" s="182" t="s">
        <v>239</v>
      </c>
      <c r="M57" s="172"/>
      <c r="N57" s="172"/>
      <c r="O57" s="91" t="s">
        <v>2143</v>
      </c>
      <c r="P57" s="91"/>
      <c r="Q57" s="91"/>
      <c r="R57" s="91" t="s">
        <v>140</v>
      </c>
      <c r="S57" s="185" t="s">
        <v>10</v>
      </c>
      <c r="T57" s="54">
        <v>95</v>
      </c>
      <c r="U57" s="55">
        <v>96</v>
      </c>
      <c r="V57" s="199" t="s">
        <v>261</v>
      </c>
      <c r="W57" s="172" t="s">
        <v>3</v>
      </c>
      <c r="X57" s="197"/>
      <c r="Y57" s="197"/>
      <c r="Z57" s="172" t="s">
        <v>3</v>
      </c>
      <c r="AA57" s="35"/>
      <c r="AB57" s="36" t="s">
        <v>3</v>
      </c>
      <c r="AC57" s="153" t="s">
        <v>3</v>
      </c>
      <c r="AD57" s="35"/>
      <c r="AE57" s="153" t="s">
        <v>3</v>
      </c>
      <c r="AF57" s="112"/>
      <c r="AG57" s="153" t="s">
        <v>3</v>
      </c>
      <c r="AH57" s="112"/>
      <c r="AI57" s="33"/>
      <c r="AJ57" s="36" t="s">
        <v>541</v>
      </c>
      <c r="AK57" s="36" t="s">
        <v>3</v>
      </c>
      <c r="AL57" s="38"/>
      <c r="AM57" s="38" t="s">
        <v>3</v>
      </c>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row>
    <row r="58" spans="1:74" ht="14.1" customHeight="1">
      <c r="A58" s="19"/>
      <c r="B58" s="91" t="s">
        <v>2090</v>
      </c>
      <c r="C58" s="197"/>
      <c r="D58" s="197"/>
      <c r="E58" s="91" t="s">
        <v>1925</v>
      </c>
      <c r="F58" s="91"/>
      <c r="G58" s="91" t="s">
        <v>1186</v>
      </c>
      <c r="H58" s="182" t="s">
        <v>2495</v>
      </c>
      <c r="I58" s="91"/>
      <c r="J58" s="182" t="s">
        <v>239</v>
      </c>
      <c r="K58" s="91"/>
      <c r="L58" s="182" t="s">
        <v>239</v>
      </c>
      <c r="M58" s="91"/>
      <c r="N58" s="197"/>
      <c r="O58" s="91" t="s">
        <v>2144</v>
      </c>
      <c r="P58" s="91"/>
      <c r="Q58" s="91"/>
      <c r="R58" s="91" t="s">
        <v>141</v>
      </c>
      <c r="S58" s="185" t="s">
        <v>11</v>
      </c>
      <c r="T58" s="54">
        <v>97</v>
      </c>
      <c r="U58" s="55">
        <v>98</v>
      </c>
      <c r="V58" s="185" t="s">
        <v>10</v>
      </c>
      <c r="W58" s="91" t="s">
        <v>2096</v>
      </c>
      <c r="X58" s="178"/>
      <c r="Y58" s="178"/>
      <c r="Z58" s="91" t="s">
        <v>1944</v>
      </c>
      <c r="AA58" s="35"/>
      <c r="AB58" s="35" t="s">
        <v>1144</v>
      </c>
      <c r="AC58" s="154" t="s">
        <v>2549</v>
      </c>
      <c r="AD58" s="32"/>
      <c r="AE58" s="154" t="s">
        <v>239</v>
      </c>
      <c r="AF58" s="108"/>
      <c r="AG58" s="154" t="s">
        <v>239</v>
      </c>
      <c r="AH58" s="108"/>
      <c r="AI58" s="32"/>
      <c r="AJ58" s="91" t="s">
        <v>1675</v>
      </c>
      <c r="AK58" s="91"/>
      <c r="AL58" s="57"/>
      <c r="AM58" s="127" t="s">
        <v>117</v>
      </c>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row>
    <row r="59" spans="1:74" ht="14.1" customHeight="1">
      <c r="A59" s="19"/>
      <c r="B59" s="91" t="s">
        <v>2091</v>
      </c>
      <c r="C59" s="197"/>
      <c r="D59" s="197"/>
      <c r="E59" s="91" t="s">
        <v>1866</v>
      </c>
      <c r="F59" s="91"/>
      <c r="G59" s="91" t="s">
        <v>1211</v>
      </c>
      <c r="H59" s="182" t="s">
        <v>2496</v>
      </c>
      <c r="I59" s="91"/>
      <c r="J59" s="182" t="s">
        <v>239</v>
      </c>
      <c r="K59" s="91"/>
      <c r="L59" s="182" t="s">
        <v>239</v>
      </c>
      <c r="M59" s="91"/>
      <c r="N59" s="197"/>
      <c r="O59" s="91" t="s">
        <v>1663</v>
      </c>
      <c r="P59" s="91"/>
      <c r="Q59" s="91"/>
      <c r="R59" s="91" t="s">
        <v>138</v>
      </c>
      <c r="S59" s="185" t="s">
        <v>10</v>
      </c>
      <c r="T59" s="54">
        <v>99</v>
      </c>
      <c r="U59" s="55">
        <v>100</v>
      </c>
      <c r="V59" s="185" t="s">
        <v>11</v>
      </c>
      <c r="W59" s="91" t="s">
        <v>2095</v>
      </c>
      <c r="X59" s="197"/>
      <c r="Y59" s="197"/>
      <c r="Z59" s="91" t="s">
        <v>1945</v>
      </c>
      <c r="AA59" s="35"/>
      <c r="AB59" s="35" t="s">
        <v>1145</v>
      </c>
      <c r="AC59" s="154" t="s">
        <v>2550</v>
      </c>
      <c r="AD59" s="35"/>
      <c r="AE59" s="154" t="s">
        <v>239</v>
      </c>
      <c r="AF59" s="112"/>
      <c r="AG59" s="154" t="s">
        <v>239</v>
      </c>
      <c r="AH59" s="112"/>
      <c r="AI59" s="33"/>
      <c r="AJ59" s="91" t="s">
        <v>1676</v>
      </c>
      <c r="AK59" s="91"/>
      <c r="AL59" s="57"/>
      <c r="AM59" s="127" t="s">
        <v>118</v>
      </c>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row>
    <row r="60" spans="1:74" ht="14.1" customHeight="1">
      <c r="A60" s="19"/>
      <c r="B60" s="91" t="s">
        <v>2092</v>
      </c>
      <c r="C60" s="197"/>
      <c r="D60" s="197"/>
      <c r="E60" s="91" t="s">
        <v>1867</v>
      </c>
      <c r="F60" s="91"/>
      <c r="G60" s="91" t="s">
        <v>1212</v>
      </c>
      <c r="H60" s="182" t="s">
        <v>2497</v>
      </c>
      <c r="I60" s="91"/>
      <c r="J60" s="182" t="s">
        <v>239</v>
      </c>
      <c r="K60" s="91"/>
      <c r="L60" s="182" t="s">
        <v>239</v>
      </c>
      <c r="M60" s="91"/>
      <c r="N60" s="197"/>
      <c r="O60" s="91" t="s">
        <v>1664</v>
      </c>
      <c r="P60" s="91"/>
      <c r="Q60" s="91"/>
      <c r="R60" s="91" t="s">
        <v>139</v>
      </c>
      <c r="S60" s="185" t="s">
        <v>11</v>
      </c>
      <c r="T60" s="54">
        <v>101</v>
      </c>
      <c r="U60" s="55">
        <v>102</v>
      </c>
      <c r="V60" s="185" t="s">
        <v>10</v>
      </c>
      <c r="W60" s="91" t="s">
        <v>2094</v>
      </c>
      <c r="X60" s="197"/>
      <c r="Y60" s="197"/>
      <c r="Z60" s="91" t="s">
        <v>1942</v>
      </c>
      <c r="AA60" s="35"/>
      <c r="AB60" s="35" t="s">
        <v>1148</v>
      </c>
      <c r="AC60" s="154" t="s">
        <v>2551</v>
      </c>
      <c r="AD60" s="35"/>
      <c r="AE60" s="154" t="s">
        <v>239</v>
      </c>
      <c r="AF60" s="112"/>
      <c r="AG60" s="154" t="s">
        <v>239</v>
      </c>
      <c r="AH60" s="112"/>
      <c r="AI60" s="33"/>
      <c r="AJ60" s="91" t="s">
        <v>1671</v>
      </c>
      <c r="AK60" s="91"/>
      <c r="AL60" s="57"/>
      <c r="AM60" s="127" t="s">
        <v>154</v>
      </c>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row>
    <row r="61" spans="1:74" ht="14.1" customHeight="1">
      <c r="A61" s="19"/>
      <c r="B61" s="172" t="s">
        <v>3</v>
      </c>
      <c r="C61" s="197"/>
      <c r="D61" s="197"/>
      <c r="E61" s="172" t="s">
        <v>3</v>
      </c>
      <c r="F61" s="91"/>
      <c r="G61" s="172" t="s">
        <v>3</v>
      </c>
      <c r="H61" s="176" t="s">
        <v>3</v>
      </c>
      <c r="I61" s="91"/>
      <c r="J61" s="176" t="s">
        <v>3</v>
      </c>
      <c r="K61" s="91"/>
      <c r="L61" s="176" t="s">
        <v>3</v>
      </c>
      <c r="M61" s="91"/>
      <c r="N61" s="197"/>
      <c r="O61" s="172" t="s">
        <v>541</v>
      </c>
      <c r="P61" s="172" t="s">
        <v>3</v>
      </c>
      <c r="Q61" s="172"/>
      <c r="R61" s="172" t="s">
        <v>3</v>
      </c>
      <c r="S61" s="199" t="s">
        <v>261</v>
      </c>
      <c r="T61" s="54">
        <v>103</v>
      </c>
      <c r="U61" s="55">
        <v>104</v>
      </c>
      <c r="V61" s="185" t="s">
        <v>11</v>
      </c>
      <c r="W61" s="91" t="s">
        <v>2093</v>
      </c>
      <c r="X61" s="197"/>
      <c r="Y61" s="197"/>
      <c r="Z61" s="91" t="s">
        <v>1943</v>
      </c>
      <c r="AA61" s="35"/>
      <c r="AB61" s="35" t="s">
        <v>1149</v>
      </c>
      <c r="AC61" s="154" t="s">
        <v>2552</v>
      </c>
      <c r="AD61" s="35"/>
      <c r="AE61" s="154" t="s">
        <v>239</v>
      </c>
      <c r="AF61" s="112"/>
      <c r="AG61" s="154" t="s">
        <v>239</v>
      </c>
      <c r="AH61" s="112"/>
      <c r="AI61" s="33"/>
      <c r="AJ61" s="91" t="s">
        <v>1672</v>
      </c>
      <c r="AK61" s="91"/>
      <c r="AL61" s="57"/>
      <c r="AM61" s="127" t="s">
        <v>155</v>
      </c>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row>
    <row r="62" spans="1:74" ht="14.1" customHeight="1">
      <c r="A62" s="19"/>
      <c r="B62" s="91" t="s">
        <v>1607</v>
      </c>
      <c r="C62" s="178"/>
      <c r="D62" s="178"/>
      <c r="E62" s="91" t="s">
        <v>2251</v>
      </c>
      <c r="F62" s="178"/>
      <c r="G62" s="91" t="s">
        <v>1191</v>
      </c>
      <c r="H62" s="182" t="s">
        <v>2498</v>
      </c>
      <c r="I62" s="178"/>
      <c r="J62" s="182" t="s">
        <v>239</v>
      </c>
      <c r="K62" s="91"/>
      <c r="L62" s="182" t="s">
        <v>239</v>
      </c>
      <c r="M62" s="178"/>
      <c r="N62" s="178"/>
      <c r="O62" s="91" t="s">
        <v>1659</v>
      </c>
      <c r="P62" s="91"/>
      <c r="Q62" s="91"/>
      <c r="R62" s="91" t="s">
        <v>136</v>
      </c>
      <c r="S62" s="185" t="s">
        <v>10</v>
      </c>
      <c r="T62" s="54">
        <v>105</v>
      </c>
      <c r="U62" s="55">
        <v>106</v>
      </c>
      <c r="V62" s="196" t="s">
        <v>2</v>
      </c>
      <c r="W62" s="178" t="s">
        <v>2</v>
      </c>
      <c r="X62" s="197"/>
      <c r="Y62" s="197"/>
      <c r="Z62" s="178" t="s">
        <v>2</v>
      </c>
      <c r="AA62" s="35"/>
      <c r="AB62" s="32" t="s">
        <v>2</v>
      </c>
      <c r="AC62" s="155" t="s">
        <v>2</v>
      </c>
      <c r="AD62" s="35"/>
      <c r="AE62" s="155" t="s">
        <v>2</v>
      </c>
      <c r="AF62" s="112"/>
      <c r="AG62" s="155" t="s">
        <v>2</v>
      </c>
      <c r="AH62" s="112"/>
      <c r="AI62" s="33"/>
      <c r="AJ62" s="32" t="s">
        <v>2</v>
      </c>
      <c r="AK62" s="32" t="s">
        <v>2</v>
      </c>
      <c r="AL62" s="37"/>
      <c r="AM62" s="37" t="s">
        <v>2</v>
      </c>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row>
    <row r="63" spans="1:74" ht="14.1" customHeight="1">
      <c r="A63" s="19"/>
      <c r="B63" s="91" t="s">
        <v>1606</v>
      </c>
      <c r="C63" s="197"/>
      <c r="D63" s="197"/>
      <c r="E63" s="91" t="s">
        <v>2252</v>
      </c>
      <c r="F63" s="91"/>
      <c r="G63" s="91" t="s">
        <v>1192</v>
      </c>
      <c r="H63" s="182" t="s">
        <v>2499</v>
      </c>
      <c r="I63" s="91"/>
      <c r="J63" s="182" t="s">
        <v>239</v>
      </c>
      <c r="K63" s="91"/>
      <c r="L63" s="182" t="s">
        <v>239</v>
      </c>
      <c r="M63" s="91"/>
      <c r="N63" s="197"/>
      <c r="O63" s="91" t="s">
        <v>1660</v>
      </c>
      <c r="P63" s="91"/>
      <c r="Q63" s="91"/>
      <c r="R63" s="91" t="s">
        <v>137</v>
      </c>
      <c r="S63" s="185" t="s">
        <v>11</v>
      </c>
      <c r="T63" s="54">
        <v>107</v>
      </c>
      <c r="U63" s="55">
        <v>108</v>
      </c>
      <c r="V63" s="185" t="s">
        <v>10</v>
      </c>
      <c r="W63" s="91" t="s">
        <v>1609</v>
      </c>
      <c r="X63" s="172"/>
      <c r="Y63" s="172"/>
      <c r="Z63" s="91" t="s">
        <v>2255</v>
      </c>
      <c r="AA63" s="35"/>
      <c r="AB63" s="35" t="s">
        <v>1169</v>
      </c>
      <c r="AC63" s="154" t="s">
        <v>2553</v>
      </c>
      <c r="AD63" s="36"/>
      <c r="AE63" s="225" t="s">
        <v>239</v>
      </c>
      <c r="AF63" s="111"/>
      <c r="AG63" s="225" t="s">
        <v>239</v>
      </c>
      <c r="AH63" s="111"/>
      <c r="AI63" s="36"/>
      <c r="AJ63" s="91" t="s">
        <v>1677</v>
      </c>
      <c r="AK63" s="91"/>
      <c r="AL63" s="57"/>
      <c r="AM63" s="127" t="s">
        <v>115</v>
      </c>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row>
    <row r="64" spans="1:74" ht="14.1" customHeight="1">
      <c r="A64" s="19"/>
      <c r="B64" s="91" t="s">
        <v>1615</v>
      </c>
      <c r="C64" s="197"/>
      <c r="D64" s="197"/>
      <c r="E64" s="91" t="s">
        <v>2280</v>
      </c>
      <c r="F64" s="91"/>
      <c r="G64" s="91" t="s">
        <v>1189</v>
      </c>
      <c r="H64" s="182" t="s">
        <v>2500</v>
      </c>
      <c r="I64" s="91"/>
      <c r="J64" s="182" t="s">
        <v>239</v>
      </c>
      <c r="K64" s="91"/>
      <c r="L64" s="182" t="s">
        <v>239</v>
      </c>
      <c r="M64" s="91"/>
      <c r="N64" s="197"/>
      <c r="O64" s="91" t="s">
        <v>2149</v>
      </c>
      <c r="P64" s="91"/>
      <c r="Q64" s="91"/>
      <c r="R64" s="91" t="s">
        <v>97</v>
      </c>
      <c r="S64" s="185" t="s">
        <v>10</v>
      </c>
      <c r="T64" s="54">
        <v>109</v>
      </c>
      <c r="U64" s="55">
        <v>110</v>
      </c>
      <c r="V64" s="185" t="s">
        <v>11</v>
      </c>
      <c r="W64" s="91" t="s">
        <v>1608</v>
      </c>
      <c r="X64" s="197"/>
      <c r="Y64" s="197"/>
      <c r="Z64" s="91" t="s">
        <v>2256</v>
      </c>
      <c r="AA64" s="35"/>
      <c r="AB64" s="35" t="s">
        <v>1170</v>
      </c>
      <c r="AC64" s="154" t="s">
        <v>2554</v>
      </c>
      <c r="AD64" s="35"/>
      <c r="AE64" s="225" t="s">
        <v>239</v>
      </c>
      <c r="AF64" s="112"/>
      <c r="AG64" s="225" t="s">
        <v>239</v>
      </c>
      <c r="AH64" s="112"/>
      <c r="AI64" s="33"/>
      <c r="AJ64" s="91" t="s">
        <v>1678</v>
      </c>
      <c r="AK64" s="91"/>
      <c r="AL64" s="57"/>
      <c r="AM64" s="127" t="s">
        <v>116</v>
      </c>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row>
    <row r="65" spans="1:74" ht="14.1" customHeight="1">
      <c r="A65" s="19"/>
      <c r="B65" s="91" t="s">
        <v>1614</v>
      </c>
      <c r="C65" s="197"/>
      <c r="D65" s="197"/>
      <c r="E65" s="91" t="s">
        <v>2281</v>
      </c>
      <c r="F65" s="91"/>
      <c r="G65" s="91" t="s">
        <v>1190</v>
      </c>
      <c r="H65" s="182" t="s">
        <v>2501</v>
      </c>
      <c r="I65" s="91"/>
      <c r="J65" s="182" t="s">
        <v>239</v>
      </c>
      <c r="K65" s="91"/>
      <c r="L65" s="182" t="s">
        <v>239</v>
      </c>
      <c r="M65" s="91"/>
      <c r="N65" s="197"/>
      <c r="O65" s="91" t="s">
        <v>2150</v>
      </c>
      <c r="P65" s="91"/>
      <c r="Q65" s="91"/>
      <c r="R65" s="91" t="s">
        <v>98</v>
      </c>
      <c r="S65" s="185" t="s">
        <v>11</v>
      </c>
      <c r="T65" s="54">
        <v>111</v>
      </c>
      <c r="U65" s="55">
        <v>112</v>
      </c>
      <c r="V65" s="185" t="s">
        <v>10</v>
      </c>
      <c r="W65" s="91" t="s">
        <v>1613</v>
      </c>
      <c r="X65" s="197"/>
      <c r="Y65" s="197"/>
      <c r="Z65" s="91" t="s">
        <v>2265</v>
      </c>
      <c r="AA65" s="35"/>
      <c r="AB65" s="35" t="s">
        <v>1153</v>
      </c>
      <c r="AC65" s="154" t="s">
        <v>2555</v>
      </c>
      <c r="AD65" s="35"/>
      <c r="AE65" s="225" t="s">
        <v>239</v>
      </c>
      <c r="AF65" s="112"/>
      <c r="AG65" s="225" t="s">
        <v>239</v>
      </c>
      <c r="AH65" s="112"/>
      <c r="AI65" s="33"/>
      <c r="AJ65" s="91" t="s">
        <v>1673</v>
      </c>
      <c r="AK65" s="91"/>
      <c r="AL65" s="57"/>
      <c r="AM65" s="127" t="s">
        <v>113</v>
      </c>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row>
    <row r="66" spans="1:74" ht="14.1" customHeight="1">
      <c r="A66" s="19"/>
      <c r="B66" s="178" t="s">
        <v>2</v>
      </c>
      <c r="C66" s="197"/>
      <c r="D66" s="197"/>
      <c r="E66" s="178" t="s">
        <v>2</v>
      </c>
      <c r="F66" s="91"/>
      <c r="G66" s="178" t="s">
        <v>2</v>
      </c>
      <c r="H66" s="180" t="s">
        <v>2</v>
      </c>
      <c r="I66" s="91"/>
      <c r="J66" s="180" t="s">
        <v>2</v>
      </c>
      <c r="K66" s="91"/>
      <c r="L66" s="180" t="s">
        <v>2</v>
      </c>
      <c r="M66" s="91"/>
      <c r="N66" s="197"/>
      <c r="O66" s="178" t="s">
        <v>2</v>
      </c>
      <c r="P66" s="178" t="s">
        <v>2</v>
      </c>
      <c r="Q66" s="178"/>
      <c r="R66" s="178" t="s">
        <v>2</v>
      </c>
      <c r="S66" s="196" t="s">
        <v>2</v>
      </c>
      <c r="T66" s="54">
        <v>113</v>
      </c>
      <c r="U66" s="55">
        <v>114</v>
      </c>
      <c r="V66" s="185" t="s">
        <v>11</v>
      </c>
      <c r="W66" s="91" t="s">
        <v>1612</v>
      </c>
      <c r="X66" s="197"/>
      <c r="Y66" s="197"/>
      <c r="Z66" s="91" t="s">
        <v>2266</v>
      </c>
      <c r="AA66" s="35"/>
      <c r="AB66" s="35" t="s">
        <v>1154</v>
      </c>
      <c r="AC66" s="154" t="s">
        <v>2556</v>
      </c>
      <c r="AD66" s="35"/>
      <c r="AE66" s="225" t="s">
        <v>239</v>
      </c>
      <c r="AF66" s="112"/>
      <c r="AG66" s="225" t="s">
        <v>239</v>
      </c>
      <c r="AH66" s="112"/>
      <c r="AI66" s="33"/>
      <c r="AJ66" s="91" t="s">
        <v>1674</v>
      </c>
      <c r="AK66" s="91"/>
      <c r="AL66" s="57"/>
      <c r="AM66" s="127" t="s">
        <v>114</v>
      </c>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row>
    <row r="67" spans="1:74" ht="14.1" customHeight="1">
      <c r="A67" s="19"/>
      <c r="B67" s="91" t="s">
        <v>1611</v>
      </c>
      <c r="C67" s="172"/>
      <c r="D67" s="172"/>
      <c r="E67" s="93" t="s">
        <v>1983</v>
      </c>
      <c r="F67" s="172"/>
      <c r="G67" s="91" t="s">
        <v>1193</v>
      </c>
      <c r="H67" s="184" t="s">
        <v>2502</v>
      </c>
      <c r="I67" s="172"/>
      <c r="J67" s="224" t="s">
        <v>239</v>
      </c>
      <c r="K67" s="91"/>
      <c r="L67" s="224" t="s">
        <v>239</v>
      </c>
      <c r="M67" s="172"/>
      <c r="N67" s="172"/>
      <c r="O67" s="91" t="s">
        <v>2151</v>
      </c>
      <c r="P67" s="91"/>
      <c r="Q67" s="91"/>
      <c r="R67" s="91" t="s">
        <v>88</v>
      </c>
      <c r="S67" s="198" t="s">
        <v>32</v>
      </c>
      <c r="T67" s="54">
        <v>115</v>
      </c>
      <c r="U67" s="55">
        <v>116</v>
      </c>
      <c r="V67" s="199" t="s">
        <v>9</v>
      </c>
      <c r="W67" s="172" t="s">
        <v>1654</v>
      </c>
      <c r="X67" s="197"/>
      <c r="Y67" s="197"/>
      <c r="Z67" s="172" t="s">
        <v>557</v>
      </c>
      <c r="AA67" s="35"/>
      <c r="AB67" s="36" t="s">
        <v>1006</v>
      </c>
      <c r="AC67" s="153" t="s">
        <v>2180</v>
      </c>
      <c r="AD67" s="35"/>
      <c r="AE67" s="226" t="s">
        <v>239</v>
      </c>
      <c r="AF67" s="112"/>
      <c r="AG67" s="226" t="s">
        <v>239</v>
      </c>
      <c r="AH67" s="112"/>
      <c r="AI67" s="33"/>
      <c r="AJ67" s="36" t="s">
        <v>2613</v>
      </c>
      <c r="AK67" s="36" t="s">
        <v>413</v>
      </c>
      <c r="AL67" s="38"/>
      <c r="AM67" s="38" t="s">
        <v>413</v>
      </c>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row>
    <row r="68" spans="1:74" ht="14.1" customHeight="1">
      <c r="A68" s="19"/>
      <c r="B68" s="91" t="s">
        <v>1610</v>
      </c>
      <c r="C68" s="197"/>
      <c r="D68" s="197"/>
      <c r="E68" s="93" t="s">
        <v>1984</v>
      </c>
      <c r="F68" s="91"/>
      <c r="G68" s="91" t="s">
        <v>1194</v>
      </c>
      <c r="H68" s="184" t="s">
        <v>2503</v>
      </c>
      <c r="I68" s="91"/>
      <c r="J68" s="224" t="s">
        <v>239</v>
      </c>
      <c r="K68" s="91"/>
      <c r="L68" s="224" t="s">
        <v>239</v>
      </c>
      <c r="M68" s="91"/>
      <c r="N68" s="197"/>
      <c r="O68" s="91" t="s">
        <v>2152</v>
      </c>
      <c r="P68" s="91"/>
      <c r="Q68" s="91"/>
      <c r="R68" s="91" t="s">
        <v>90</v>
      </c>
      <c r="S68" s="198" t="s">
        <v>33</v>
      </c>
      <c r="T68" s="54">
        <v>117</v>
      </c>
      <c r="U68" s="55">
        <v>118</v>
      </c>
      <c r="V68" s="185" t="s">
        <v>10</v>
      </c>
      <c r="W68" s="91" t="s">
        <v>1621</v>
      </c>
      <c r="X68" s="178"/>
      <c r="Y68" s="178"/>
      <c r="Z68" s="91" t="s">
        <v>2257</v>
      </c>
      <c r="AA68" s="35"/>
      <c r="AB68" s="35" t="s">
        <v>1159</v>
      </c>
      <c r="AC68" s="154" t="s">
        <v>2557</v>
      </c>
      <c r="AD68" s="32"/>
      <c r="AE68" s="225" t="s">
        <v>239</v>
      </c>
      <c r="AF68" s="108"/>
      <c r="AG68" s="225" t="s">
        <v>239</v>
      </c>
      <c r="AH68" s="108"/>
      <c r="AI68" s="32"/>
      <c r="AJ68" s="91" t="s">
        <v>2125</v>
      </c>
      <c r="AK68" s="91"/>
      <c r="AL68" s="57"/>
      <c r="AM68" s="127" t="s">
        <v>150</v>
      </c>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row>
    <row r="69" spans="1:74" ht="14.1" customHeight="1">
      <c r="A69" s="19"/>
      <c r="B69" s="91" t="s">
        <v>1627</v>
      </c>
      <c r="C69" s="197"/>
      <c r="D69" s="197"/>
      <c r="E69" s="91" t="s">
        <v>2029</v>
      </c>
      <c r="F69" s="91"/>
      <c r="G69" s="91" t="s">
        <v>1187</v>
      </c>
      <c r="H69" s="182" t="s">
        <v>2504</v>
      </c>
      <c r="I69" s="91"/>
      <c r="J69" s="182" t="s">
        <v>239</v>
      </c>
      <c r="K69" s="91"/>
      <c r="L69" s="182" t="s">
        <v>239</v>
      </c>
      <c r="M69" s="91"/>
      <c r="N69" s="197"/>
      <c r="O69" s="91" t="s">
        <v>2153</v>
      </c>
      <c r="P69" s="91"/>
      <c r="Q69" s="91"/>
      <c r="R69" s="91" t="s">
        <v>134</v>
      </c>
      <c r="S69" s="185" t="s">
        <v>10</v>
      </c>
      <c r="T69" s="54">
        <v>119</v>
      </c>
      <c r="U69" s="55">
        <v>120</v>
      </c>
      <c r="V69" s="185" t="s">
        <v>11</v>
      </c>
      <c r="W69" s="91" t="s">
        <v>1620</v>
      </c>
      <c r="X69" s="197"/>
      <c r="Y69" s="197"/>
      <c r="Z69" s="91" t="s">
        <v>2258</v>
      </c>
      <c r="AA69" s="35"/>
      <c r="AB69" s="35" t="s">
        <v>1160</v>
      </c>
      <c r="AC69" s="154" t="s">
        <v>2558</v>
      </c>
      <c r="AD69" s="35"/>
      <c r="AE69" s="225" t="s">
        <v>239</v>
      </c>
      <c r="AF69" s="112"/>
      <c r="AG69" s="225" t="s">
        <v>239</v>
      </c>
      <c r="AH69" s="112"/>
      <c r="AI69" s="33"/>
      <c r="AJ69" s="91" t="s">
        <v>2126</v>
      </c>
      <c r="AK69" s="91"/>
      <c r="AL69" s="57"/>
      <c r="AM69" s="127" t="s">
        <v>151</v>
      </c>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row>
    <row r="70" spans="1:74" ht="14.1" customHeight="1">
      <c r="A70" s="19"/>
      <c r="B70" s="91" t="s">
        <v>1626</v>
      </c>
      <c r="C70" s="178"/>
      <c r="D70" s="178"/>
      <c r="E70" s="91" t="s">
        <v>2030</v>
      </c>
      <c r="F70" s="178"/>
      <c r="G70" s="91" t="s">
        <v>1188</v>
      </c>
      <c r="H70" s="182" t="s">
        <v>2505</v>
      </c>
      <c r="I70" s="178"/>
      <c r="J70" s="182" t="s">
        <v>239</v>
      </c>
      <c r="K70" s="91"/>
      <c r="L70" s="182" t="s">
        <v>239</v>
      </c>
      <c r="M70" s="178"/>
      <c r="N70" s="178"/>
      <c r="O70" s="91" t="s">
        <v>2154</v>
      </c>
      <c r="P70" s="91"/>
      <c r="Q70" s="91"/>
      <c r="R70" s="91" t="s">
        <v>135</v>
      </c>
      <c r="S70" s="185" t="s">
        <v>11</v>
      </c>
      <c r="T70" s="54">
        <v>121</v>
      </c>
      <c r="U70" s="55">
        <v>122</v>
      </c>
      <c r="V70" s="198" t="s">
        <v>30</v>
      </c>
      <c r="W70" s="91" t="s">
        <v>1617</v>
      </c>
      <c r="X70" s="197"/>
      <c r="Y70" s="197"/>
      <c r="Z70" s="93" t="s">
        <v>2273</v>
      </c>
      <c r="AA70" s="35"/>
      <c r="AB70" s="35" t="s">
        <v>1165</v>
      </c>
      <c r="AC70" s="158" t="s">
        <v>2559</v>
      </c>
      <c r="AD70" s="35"/>
      <c r="AE70" s="226" t="s">
        <v>239</v>
      </c>
      <c r="AF70" s="112"/>
      <c r="AG70" s="226" t="s">
        <v>239</v>
      </c>
      <c r="AH70" s="112"/>
      <c r="AI70" s="33"/>
      <c r="AJ70" s="91" t="s">
        <v>2127</v>
      </c>
      <c r="AK70" s="91"/>
      <c r="AL70" s="57"/>
      <c r="AM70" s="127" t="s">
        <v>109</v>
      </c>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row>
    <row r="71" spans="1:74" ht="14.1" customHeight="1">
      <c r="A71" s="19"/>
      <c r="B71" s="172" t="s">
        <v>4</v>
      </c>
      <c r="C71" s="197"/>
      <c r="D71" s="93"/>
      <c r="E71" s="172" t="s">
        <v>236</v>
      </c>
      <c r="F71" s="91"/>
      <c r="G71" s="172" t="s">
        <v>236</v>
      </c>
      <c r="H71" s="176" t="s">
        <v>4</v>
      </c>
      <c r="I71" s="93"/>
      <c r="J71" s="176" t="s">
        <v>4</v>
      </c>
      <c r="K71" s="91"/>
      <c r="L71" s="176" t="s">
        <v>4</v>
      </c>
      <c r="M71" s="93"/>
      <c r="N71" s="93"/>
      <c r="O71" s="172" t="s">
        <v>239</v>
      </c>
      <c r="P71" s="172" t="s">
        <v>4</v>
      </c>
      <c r="Q71" s="172"/>
      <c r="R71" s="172" t="s">
        <v>4</v>
      </c>
      <c r="S71" s="199" t="s">
        <v>6</v>
      </c>
      <c r="T71" s="54">
        <v>123</v>
      </c>
      <c r="U71" s="55">
        <v>124</v>
      </c>
      <c r="V71" s="198" t="s">
        <v>31</v>
      </c>
      <c r="W71" s="91" t="s">
        <v>1616</v>
      </c>
      <c r="X71" s="197"/>
      <c r="Y71" s="197"/>
      <c r="Z71" s="93" t="s">
        <v>2274</v>
      </c>
      <c r="AA71" s="35"/>
      <c r="AB71" s="35" t="s">
        <v>1166</v>
      </c>
      <c r="AC71" s="158" t="s">
        <v>2560</v>
      </c>
      <c r="AD71" s="35"/>
      <c r="AE71" s="226" t="s">
        <v>239</v>
      </c>
      <c r="AF71" s="112"/>
      <c r="AG71" s="226" t="s">
        <v>239</v>
      </c>
      <c r="AH71" s="112"/>
      <c r="AI71" s="33"/>
      <c r="AJ71" s="91" t="s">
        <v>2128</v>
      </c>
      <c r="AK71" s="91"/>
      <c r="AL71" s="57"/>
      <c r="AM71" s="127" t="s">
        <v>110</v>
      </c>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row>
    <row r="72" spans="1:74" ht="14.1" customHeight="1">
      <c r="A72" s="19"/>
      <c r="B72" s="91" t="s">
        <v>1623</v>
      </c>
      <c r="C72" s="197"/>
      <c r="D72" s="93"/>
      <c r="E72" s="91" t="s">
        <v>2253</v>
      </c>
      <c r="F72" s="91"/>
      <c r="G72" s="91" t="s">
        <v>1195</v>
      </c>
      <c r="H72" s="182" t="s">
        <v>2506</v>
      </c>
      <c r="I72" s="93"/>
      <c r="J72" s="182" t="s">
        <v>239</v>
      </c>
      <c r="K72" s="91"/>
      <c r="L72" s="182" t="s">
        <v>239</v>
      </c>
      <c r="M72" s="93"/>
      <c r="N72" s="93"/>
      <c r="O72" s="91" t="s">
        <v>2155</v>
      </c>
      <c r="P72" s="91"/>
      <c r="Q72" s="91"/>
      <c r="R72" s="91" t="s">
        <v>95</v>
      </c>
      <c r="S72" s="185" t="s">
        <v>10</v>
      </c>
      <c r="T72" s="54">
        <v>125</v>
      </c>
      <c r="U72" s="55">
        <v>126</v>
      </c>
      <c r="V72" s="196" t="s">
        <v>2</v>
      </c>
      <c r="W72" s="178" t="s">
        <v>2</v>
      </c>
      <c r="X72" s="197"/>
      <c r="Y72" s="197"/>
      <c r="Z72" s="178" t="s">
        <v>2</v>
      </c>
      <c r="AA72" s="35"/>
      <c r="AB72" s="32" t="s">
        <v>2</v>
      </c>
      <c r="AC72" s="155" t="s">
        <v>2</v>
      </c>
      <c r="AD72" s="35"/>
      <c r="AE72" s="155" t="s">
        <v>2</v>
      </c>
      <c r="AF72" s="112"/>
      <c r="AG72" s="155" t="s">
        <v>2</v>
      </c>
      <c r="AH72" s="112"/>
      <c r="AI72" s="33"/>
      <c r="AJ72" s="32" t="s">
        <v>2</v>
      </c>
      <c r="AK72" s="32" t="s">
        <v>2</v>
      </c>
      <c r="AL72" s="37"/>
      <c r="AM72" s="37" t="s">
        <v>2</v>
      </c>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row>
    <row r="73" spans="1:74" ht="14.1" customHeight="1">
      <c r="A73" s="19"/>
      <c r="B73" s="91" t="s">
        <v>1622</v>
      </c>
      <c r="C73" s="172"/>
      <c r="D73" s="172"/>
      <c r="E73" s="91" t="s">
        <v>2254</v>
      </c>
      <c r="F73" s="172"/>
      <c r="G73" s="91" t="s">
        <v>1196</v>
      </c>
      <c r="H73" s="182" t="s">
        <v>2507</v>
      </c>
      <c r="I73" s="172"/>
      <c r="J73" s="182" t="s">
        <v>239</v>
      </c>
      <c r="K73" s="91"/>
      <c r="L73" s="182" t="s">
        <v>239</v>
      </c>
      <c r="M73" s="172"/>
      <c r="N73" s="172"/>
      <c r="O73" s="91" t="s">
        <v>2156</v>
      </c>
      <c r="P73" s="91"/>
      <c r="Q73" s="91"/>
      <c r="R73" s="91" t="s">
        <v>96</v>
      </c>
      <c r="S73" s="185" t="s">
        <v>11</v>
      </c>
      <c r="T73" s="54">
        <v>127</v>
      </c>
      <c r="U73" s="55">
        <v>128</v>
      </c>
      <c r="V73" s="185" t="s">
        <v>10</v>
      </c>
      <c r="W73" s="91" t="s">
        <v>1625</v>
      </c>
      <c r="X73" s="172"/>
      <c r="Y73" s="172"/>
      <c r="Z73" s="91" t="s">
        <v>2275</v>
      </c>
      <c r="AA73" s="35"/>
      <c r="AB73" s="35" t="s">
        <v>1152</v>
      </c>
      <c r="AC73" s="154" t="s">
        <v>2561</v>
      </c>
      <c r="AD73" s="36"/>
      <c r="AE73" s="154" t="s">
        <v>239</v>
      </c>
      <c r="AF73" s="111"/>
      <c r="AG73" s="154" t="s">
        <v>239</v>
      </c>
      <c r="AH73" s="111"/>
      <c r="AI73" s="36"/>
      <c r="AJ73" s="91" t="s">
        <v>2129</v>
      </c>
      <c r="AK73" s="91"/>
      <c r="AL73" s="57"/>
      <c r="AM73" s="127" t="s">
        <v>111</v>
      </c>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row>
    <row r="74" spans="1:74" ht="14.1" customHeight="1">
      <c r="A74" s="19"/>
      <c r="B74" s="91" t="s">
        <v>1619</v>
      </c>
      <c r="C74" s="197"/>
      <c r="D74" s="197"/>
      <c r="E74" s="91" t="s">
        <v>2282</v>
      </c>
      <c r="F74" s="91"/>
      <c r="G74" s="91" t="s">
        <v>1201</v>
      </c>
      <c r="H74" s="182" t="s">
        <v>2508</v>
      </c>
      <c r="I74" s="91"/>
      <c r="J74" s="182" t="s">
        <v>239</v>
      </c>
      <c r="K74" s="91"/>
      <c r="L74" s="182" t="s">
        <v>239</v>
      </c>
      <c r="M74" s="91"/>
      <c r="N74" s="197"/>
      <c r="O74" s="91" t="s">
        <v>2157</v>
      </c>
      <c r="P74" s="91"/>
      <c r="Q74" s="91"/>
      <c r="R74" s="91" t="s">
        <v>132</v>
      </c>
      <c r="S74" s="185" t="s">
        <v>10</v>
      </c>
      <c r="T74" s="54">
        <v>129</v>
      </c>
      <c r="U74" s="55">
        <v>130</v>
      </c>
      <c r="V74" s="185" t="s">
        <v>11</v>
      </c>
      <c r="W74" s="91" t="s">
        <v>1624</v>
      </c>
      <c r="X74" s="197"/>
      <c r="Y74" s="93"/>
      <c r="Z74" s="91" t="s">
        <v>2276</v>
      </c>
      <c r="AA74" s="35"/>
      <c r="AB74" s="35" t="s">
        <v>849</v>
      </c>
      <c r="AC74" s="154" t="s">
        <v>2562</v>
      </c>
      <c r="AD74" s="34"/>
      <c r="AE74" s="154" t="s">
        <v>239</v>
      </c>
      <c r="AF74" s="109"/>
      <c r="AG74" s="154" t="s">
        <v>239</v>
      </c>
      <c r="AH74" s="109"/>
      <c r="AI74" s="33"/>
      <c r="AJ74" s="91" t="s">
        <v>2130</v>
      </c>
      <c r="AK74" s="91"/>
      <c r="AL74" s="57"/>
      <c r="AM74" s="127" t="s">
        <v>112</v>
      </c>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row>
    <row r="75" spans="1:74" ht="14.1" customHeight="1">
      <c r="A75" s="19"/>
      <c r="B75" s="91" t="s">
        <v>1618</v>
      </c>
      <c r="C75" s="197"/>
      <c r="D75" s="197"/>
      <c r="E75" s="91" t="s">
        <v>2283</v>
      </c>
      <c r="F75" s="91"/>
      <c r="G75" s="91" t="s">
        <v>1202</v>
      </c>
      <c r="H75" s="182" t="s">
        <v>2509</v>
      </c>
      <c r="I75" s="91"/>
      <c r="J75" s="182" t="s">
        <v>239</v>
      </c>
      <c r="K75" s="91"/>
      <c r="L75" s="182" t="s">
        <v>239</v>
      </c>
      <c r="M75" s="91"/>
      <c r="N75" s="197"/>
      <c r="O75" s="91" t="s">
        <v>2158</v>
      </c>
      <c r="P75" s="91"/>
      <c r="Q75" s="91"/>
      <c r="R75" s="91" t="s">
        <v>133</v>
      </c>
      <c r="S75" s="185" t="s">
        <v>11</v>
      </c>
      <c r="T75" s="54">
        <v>131</v>
      </c>
      <c r="U75" s="55">
        <v>132</v>
      </c>
      <c r="V75" s="185" t="s">
        <v>10</v>
      </c>
      <c r="W75" s="91" t="s">
        <v>1637</v>
      </c>
      <c r="X75" s="197"/>
      <c r="Y75" s="93"/>
      <c r="Z75" s="91" t="s">
        <v>2277</v>
      </c>
      <c r="AA75" s="35"/>
      <c r="AB75" s="35" t="s">
        <v>1157</v>
      </c>
      <c r="AC75" s="154" t="s">
        <v>2563</v>
      </c>
      <c r="AD75" s="34"/>
      <c r="AE75" s="154" t="s">
        <v>239</v>
      </c>
      <c r="AF75" s="109"/>
      <c r="AG75" s="154" t="s">
        <v>239</v>
      </c>
      <c r="AH75" s="109"/>
      <c r="AI75" s="33"/>
      <c r="AJ75" s="91" t="s">
        <v>2131</v>
      </c>
      <c r="AK75" s="91"/>
      <c r="AL75" s="57"/>
      <c r="AM75" s="127" t="s">
        <v>148</v>
      </c>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row>
    <row r="76" spans="1:74" ht="14.1" customHeight="1">
      <c r="A76" s="19"/>
      <c r="B76" s="178" t="s">
        <v>2</v>
      </c>
      <c r="C76" s="197"/>
      <c r="D76" s="197"/>
      <c r="E76" s="178" t="s">
        <v>2</v>
      </c>
      <c r="F76" s="91"/>
      <c r="G76" s="178" t="s">
        <v>2</v>
      </c>
      <c r="H76" s="180" t="s">
        <v>2</v>
      </c>
      <c r="I76" s="91"/>
      <c r="J76" s="180" t="s">
        <v>2</v>
      </c>
      <c r="K76" s="197"/>
      <c r="L76" s="180" t="s">
        <v>2</v>
      </c>
      <c r="M76" s="91"/>
      <c r="N76" s="197"/>
      <c r="O76" s="178" t="s">
        <v>2</v>
      </c>
      <c r="P76" s="178" t="s">
        <v>2</v>
      </c>
      <c r="Q76" s="178"/>
      <c r="R76" s="178" t="s">
        <v>2</v>
      </c>
      <c r="S76" s="196" t="s">
        <v>2</v>
      </c>
      <c r="T76" s="54">
        <v>133</v>
      </c>
      <c r="U76" s="55">
        <v>134</v>
      </c>
      <c r="V76" s="185" t="s">
        <v>11</v>
      </c>
      <c r="W76" s="91" t="s">
        <v>1636</v>
      </c>
      <c r="X76" s="178"/>
      <c r="Y76" s="178"/>
      <c r="Z76" s="91" t="s">
        <v>2278</v>
      </c>
      <c r="AA76" s="35"/>
      <c r="AB76" s="35" t="s">
        <v>1158</v>
      </c>
      <c r="AC76" s="154" t="s">
        <v>2564</v>
      </c>
      <c r="AD76" s="32"/>
      <c r="AE76" s="154" t="s">
        <v>239</v>
      </c>
      <c r="AF76" s="108"/>
      <c r="AG76" s="154" t="s">
        <v>239</v>
      </c>
      <c r="AH76" s="108"/>
      <c r="AI76" s="32"/>
      <c r="AJ76" s="91" t="s">
        <v>2132</v>
      </c>
      <c r="AK76" s="91"/>
      <c r="AL76" s="57"/>
      <c r="AM76" s="127" t="s">
        <v>149</v>
      </c>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row>
    <row r="77" spans="1:74" ht="14.1" customHeight="1">
      <c r="A77" s="19"/>
      <c r="B77" s="91" t="s">
        <v>1647</v>
      </c>
      <c r="C77" s="197"/>
      <c r="D77" s="197"/>
      <c r="E77" s="91" t="s">
        <v>2284</v>
      </c>
      <c r="F77" s="91"/>
      <c r="G77" s="91" t="s">
        <v>1197</v>
      </c>
      <c r="H77" s="182" t="s">
        <v>2510</v>
      </c>
      <c r="I77" s="91"/>
      <c r="J77" s="182" t="s">
        <v>239</v>
      </c>
      <c r="K77" s="91"/>
      <c r="L77" s="182" t="s">
        <v>239</v>
      </c>
      <c r="M77" s="91"/>
      <c r="N77" s="197"/>
      <c r="O77" s="91" t="s">
        <v>1657</v>
      </c>
      <c r="P77" s="91"/>
      <c r="Q77" s="91"/>
      <c r="R77" s="91" t="s">
        <v>93</v>
      </c>
      <c r="S77" s="185" t="s">
        <v>10</v>
      </c>
      <c r="T77" s="54">
        <v>135</v>
      </c>
      <c r="U77" s="55">
        <v>136</v>
      </c>
      <c r="V77" s="199" t="s">
        <v>261</v>
      </c>
      <c r="W77" s="172" t="s">
        <v>3</v>
      </c>
      <c r="X77" s="197"/>
      <c r="Y77" s="197"/>
      <c r="Z77" s="172" t="s">
        <v>3</v>
      </c>
      <c r="AA77" s="35"/>
      <c r="AB77" s="36" t="s">
        <v>3</v>
      </c>
      <c r="AC77" s="153" t="s">
        <v>3</v>
      </c>
      <c r="AD77" s="35"/>
      <c r="AE77" s="153" t="s">
        <v>3</v>
      </c>
      <c r="AF77" s="112"/>
      <c r="AG77" s="153" t="s">
        <v>3</v>
      </c>
      <c r="AH77" s="112"/>
      <c r="AI77" s="33"/>
      <c r="AJ77" s="36" t="s">
        <v>541</v>
      </c>
      <c r="AK77" s="36" t="s">
        <v>3</v>
      </c>
      <c r="AL77" s="38"/>
      <c r="AM77" s="38" t="s">
        <v>3</v>
      </c>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row>
    <row r="78" spans="1:74" ht="14.1" customHeight="1">
      <c r="A78" s="19"/>
      <c r="B78" s="91" t="s">
        <v>1646</v>
      </c>
      <c r="C78" s="178"/>
      <c r="D78" s="178"/>
      <c r="E78" s="91" t="s">
        <v>2285</v>
      </c>
      <c r="F78" s="178"/>
      <c r="G78" s="91" t="s">
        <v>1198</v>
      </c>
      <c r="H78" s="182" t="s">
        <v>2511</v>
      </c>
      <c r="I78" s="178"/>
      <c r="J78" s="182" t="s">
        <v>239</v>
      </c>
      <c r="K78" s="91"/>
      <c r="L78" s="182" t="s">
        <v>239</v>
      </c>
      <c r="M78" s="178"/>
      <c r="N78" s="178"/>
      <c r="O78" s="91" t="s">
        <v>1658</v>
      </c>
      <c r="P78" s="91"/>
      <c r="Q78" s="91"/>
      <c r="R78" s="91" t="s">
        <v>94</v>
      </c>
      <c r="S78" s="185" t="s">
        <v>11</v>
      </c>
      <c r="T78" s="54">
        <v>137</v>
      </c>
      <c r="U78" s="55">
        <v>138</v>
      </c>
      <c r="V78" s="185" t="s">
        <v>10</v>
      </c>
      <c r="W78" s="91" t="s">
        <v>1645</v>
      </c>
      <c r="X78" s="197"/>
      <c r="Y78" s="197"/>
      <c r="Z78" s="91" t="s">
        <v>2263</v>
      </c>
      <c r="AA78" s="35"/>
      <c r="AB78" s="35" t="s">
        <v>1161</v>
      </c>
      <c r="AC78" s="154" t="s">
        <v>2565</v>
      </c>
      <c r="AD78" s="35"/>
      <c r="AE78" s="154" t="s">
        <v>239</v>
      </c>
      <c r="AF78" s="112"/>
      <c r="AG78" s="154" t="s">
        <v>239</v>
      </c>
      <c r="AH78" s="112"/>
      <c r="AI78" s="33"/>
      <c r="AJ78" s="91" t="s">
        <v>2133</v>
      </c>
      <c r="AK78" s="91"/>
      <c r="AL78" s="57"/>
      <c r="AM78" s="127" t="s">
        <v>107</v>
      </c>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row>
    <row r="79" spans="1:74" ht="14.1" customHeight="1">
      <c r="A79" s="19"/>
      <c r="B79" s="91" t="s">
        <v>1635</v>
      </c>
      <c r="C79" s="197"/>
      <c r="D79" s="197"/>
      <c r="E79" s="91" t="s">
        <v>2259</v>
      </c>
      <c r="F79" s="91"/>
      <c r="G79" s="91" t="s">
        <v>1199</v>
      </c>
      <c r="H79" s="182" t="s">
        <v>2512</v>
      </c>
      <c r="I79" s="91"/>
      <c r="J79" s="182" t="s">
        <v>2440</v>
      </c>
      <c r="K79" s="91"/>
      <c r="L79" s="182" t="s">
        <v>3018</v>
      </c>
      <c r="M79" s="91"/>
      <c r="N79" s="197"/>
      <c r="O79" s="91" t="s">
        <v>1661</v>
      </c>
      <c r="P79" s="91"/>
      <c r="Q79" s="91"/>
      <c r="R79" s="91" t="s">
        <v>129</v>
      </c>
      <c r="S79" s="185" t="s">
        <v>10</v>
      </c>
      <c r="T79" s="54">
        <v>139</v>
      </c>
      <c r="U79" s="55">
        <v>140</v>
      </c>
      <c r="V79" s="185" t="s">
        <v>11</v>
      </c>
      <c r="W79" s="91" t="s">
        <v>1644</v>
      </c>
      <c r="X79" s="172"/>
      <c r="Y79" s="172"/>
      <c r="Z79" s="91" t="s">
        <v>2264</v>
      </c>
      <c r="AA79" s="36"/>
      <c r="AB79" s="35" t="s">
        <v>1162</v>
      </c>
      <c r="AC79" s="154" t="s">
        <v>2566</v>
      </c>
      <c r="AD79" s="36"/>
      <c r="AE79" s="154" t="s">
        <v>239</v>
      </c>
      <c r="AF79" s="111"/>
      <c r="AG79" s="154" t="s">
        <v>239</v>
      </c>
      <c r="AH79" s="111"/>
      <c r="AI79" s="36"/>
      <c r="AJ79" s="91" t="s">
        <v>2134</v>
      </c>
      <c r="AK79" s="91"/>
      <c r="AL79" s="57"/>
      <c r="AM79" s="127" t="s">
        <v>108</v>
      </c>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row>
    <row r="80" spans="1:74" ht="14.1" customHeight="1">
      <c r="A80" s="19"/>
      <c r="B80" s="91" t="s">
        <v>1634</v>
      </c>
      <c r="C80" s="197"/>
      <c r="D80" s="197"/>
      <c r="E80" s="91" t="s">
        <v>2260</v>
      </c>
      <c r="F80" s="91"/>
      <c r="G80" s="91" t="s">
        <v>1200</v>
      </c>
      <c r="H80" s="182" t="s">
        <v>2513</v>
      </c>
      <c r="I80" s="91"/>
      <c r="J80" s="182" t="s">
        <v>2441</v>
      </c>
      <c r="K80" s="91"/>
      <c r="L80" s="182" t="s">
        <v>3019</v>
      </c>
      <c r="M80" s="91"/>
      <c r="N80" s="197"/>
      <c r="O80" s="91" t="s">
        <v>1662</v>
      </c>
      <c r="P80" s="91"/>
      <c r="Q80" s="91"/>
      <c r="R80" s="91" t="s">
        <v>131</v>
      </c>
      <c r="S80" s="185" t="s">
        <v>11</v>
      </c>
      <c r="T80" s="54">
        <v>141</v>
      </c>
      <c r="U80" s="55">
        <v>142</v>
      </c>
      <c r="V80" s="185" t="s">
        <v>10</v>
      </c>
      <c r="W80" s="91" t="s">
        <v>1653</v>
      </c>
      <c r="X80" s="197"/>
      <c r="Y80" s="197"/>
      <c r="Z80" s="91" t="s">
        <v>1977</v>
      </c>
      <c r="AA80" s="35"/>
      <c r="AB80" s="35" t="s">
        <v>1155</v>
      </c>
      <c r="AC80" s="154" t="s">
        <v>2567</v>
      </c>
      <c r="AD80" s="35"/>
      <c r="AE80" s="154" t="s">
        <v>2436</v>
      </c>
      <c r="AF80" s="112"/>
      <c r="AG80" s="154" t="s">
        <v>3058</v>
      </c>
      <c r="AH80" s="112"/>
      <c r="AI80" s="33"/>
      <c r="AJ80" s="91" t="s">
        <v>2135</v>
      </c>
      <c r="AK80" s="91"/>
      <c r="AL80" s="57"/>
      <c r="AM80" s="127" t="s">
        <v>146</v>
      </c>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row>
    <row r="81" spans="1:74" ht="14.1" customHeight="1">
      <c r="A81" s="19"/>
      <c r="B81" s="172" t="s">
        <v>3</v>
      </c>
      <c r="C81" s="172"/>
      <c r="D81" s="172"/>
      <c r="E81" s="172" t="s">
        <v>3</v>
      </c>
      <c r="F81" s="172"/>
      <c r="G81" s="172" t="s">
        <v>3</v>
      </c>
      <c r="H81" s="176" t="s">
        <v>3</v>
      </c>
      <c r="I81" s="172"/>
      <c r="J81" s="176" t="s">
        <v>3</v>
      </c>
      <c r="K81" s="172"/>
      <c r="L81" s="176" t="s">
        <v>3</v>
      </c>
      <c r="M81" s="172"/>
      <c r="N81" s="172"/>
      <c r="O81" s="172" t="s">
        <v>541</v>
      </c>
      <c r="P81" s="172" t="s">
        <v>3</v>
      </c>
      <c r="Q81" s="172"/>
      <c r="R81" s="172" t="s">
        <v>3</v>
      </c>
      <c r="S81" s="199" t="s">
        <v>261</v>
      </c>
      <c r="T81" s="54">
        <v>143</v>
      </c>
      <c r="U81" s="55">
        <v>144</v>
      </c>
      <c r="V81" s="185" t="s">
        <v>11</v>
      </c>
      <c r="W81" s="91" t="s">
        <v>1652</v>
      </c>
      <c r="X81" s="197"/>
      <c r="Y81" s="197"/>
      <c r="Z81" s="91" t="s">
        <v>1978</v>
      </c>
      <c r="AA81" s="35"/>
      <c r="AB81" s="35" t="s">
        <v>1156</v>
      </c>
      <c r="AC81" s="154" t="s">
        <v>2568</v>
      </c>
      <c r="AD81" s="35"/>
      <c r="AE81" s="154" t="s">
        <v>2437</v>
      </c>
      <c r="AF81" s="112"/>
      <c r="AG81" s="154" t="s">
        <v>3059</v>
      </c>
      <c r="AH81" s="112"/>
      <c r="AI81" s="33"/>
      <c r="AJ81" s="91" t="s">
        <v>2136</v>
      </c>
      <c r="AK81" s="91"/>
      <c r="AL81" s="57"/>
      <c r="AM81" s="127" t="s">
        <v>147</v>
      </c>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row>
    <row r="82" spans="1:74" ht="14.1" customHeight="1">
      <c r="A82" s="19"/>
      <c r="B82" s="91" t="s">
        <v>1639</v>
      </c>
      <c r="C82" s="197"/>
      <c r="D82" s="197"/>
      <c r="E82" s="91" t="s">
        <v>2025</v>
      </c>
      <c r="F82" s="91"/>
      <c r="G82" s="91" t="s">
        <v>1203</v>
      </c>
      <c r="H82" s="182" t="s">
        <v>2514</v>
      </c>
      <c r="I82" s="91"/>
      <c r="J82" s="182" t="s">
        <v>2430</v>
      </c>
      <c r="K82" s="91"/>
      <c r="L82" s="182" t="s">
        <v>3020</v>
      </c>
      <c r="M82" s="91"/>
      <c r="N82" s="197"/>
      <c r="O82" s="91" t="s">
        <v>2159</v>
      </c>
      <c r="P82" s="91"/>
      <c r="Q82" s="91"/>
      <c r="R82" s="91" t="s">
        <v>91</v>
      </c>
      <c r="S82" s="185" t="s">
        <v>10</v>
      </c>
      <c r="T82" s="54">
        <v>145</v>
      </c>
      <c r="U82" s="55">
        <v>146</v>
      </c>
      <c r="V82" s="196" t="s">
        <v>2</v>
      </c>
      <c r="W82" s="178" t="s">
        <v>2</v>
      </c>
      <c r="X82" s="178"/>
      <c r="Y82" s="178"/>
      <c r="Z82" s="178" t="s">
        <v>2</v>
      </c>
      <c r="AA82" s="32"/>
      <c r="AB82" s="32" t="s">
        <v>2</v>
      </c>
      <c r="AC82" s="155" t="s">
        <v>2</v>
      </c>
      <c r="AD82" s="32"/>
      <c r="AE82" s="155" t="s">
        <v>2</v>
      </c>
      <c r="AF82" s="108"/>
      <c r="AG82" s="155" t="s">
        <v>2</v>
      </c>
      <c r="AH82" s="108"/>
      <c r="AI82" s="32"/>
      <c r="AJ82" s="32" t="s">
        <v>2</v>
      </c>
      <c r="AK82" s="32" t="s">
        <v>2</v>
      </c>
      <c r="AL82" s="37"/>
      <c r="AM82" s="37" t="s">
        <v>2</v>
      </c>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row>
    <row r="83" spans="1:74" ht="14.1" customHeight="1">
      <c r="A83" s="19"/>
      <c r="B83" s="91" t="s">
        <v>1638</v>
      </c>
      <c r="C83" s="197"/>
      <c r="D83" s="197"/>
      <c r="E83" s="91" t="s">
        <v>2279</v>
      </c>
      <c r="F83" s="91"/>
      <c r="G83" s="91" t="s">
        <v>1204</v>
      </c>
      <c r="H83" s="182" t="s">
        <v>2515</v>
      </c>
      <c r="I83" s="91"/>
      <c r="J83" s="182" t="s">
        <v>2431</v>
      </c>
      <c r="K83" s="91"/>
      <c r="L83" s="182" t="s">
        <v>3021</v>
      </c>
      <c r="M83" s="91"/>
      <c r="N83" s="197"/>
      <c r="O83" s="91" t="s">
        <v>2160</v>
      </c>
      <c r="P83" s="91"/>
      <c r="Q83" s="91"/>
      <c r="R83" s="91" t="s">
        <v>92</v>
      </c>
      <c r="S83" s="185" t="s">
        <v>11</v>
      </c>
      <c r="T83" s="54">
        <v>147</v>
      </c>
      <c r="U83" s="55">
        <v>148</v>
      </c>
      <c r="V83" s="198" t="s">
        <v>30</v>
      </c>
      <c r="W83" s="93" t="s">
        <v>1629</v>
      </c>
      <c r="X83" s="197"/>
      <c r="Y83" s="197"/>
      <c r="Z83" s="93" t="s">
        <v>2021</v>
      </c>
      <c r="AA83" s="35"/>
      <c r="AB83" s="34" t="s">
        <v>1134</v>
      </c>
      <c r="AC83" s="158" t="s">
        <v>2569</v>
      </c>
      <c r="AD83" s="35"/>
      <c r="AE83" s="158" t="s">
        <v>3089</v>
      </c>
      <c r="AF83" s="112"/>
      <c r="AG83" s="158" t="s">
        <v>3060</v>
      </c>
      <c r="AH83" s="112"/>
      <c r="AI83" s="33"/>
      <c r="AJ83" s="91" t="s">
        <v>2137</v>
      </c>
      <c r="AK83" s="91"/>
      <c r="AL83" s="57"/>
      <c r="AM83" s="127" t="s">
        <v>103</v>
      </c>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row>
    <row r="84" spans="1:74" ht="14.1" customHeight="1">
      <c r="A84" s="19"/>
      <c r="B84" s="178" t="s">
        <v>2</v>
      </c>
      <c r="C84" s="178"/>
      <c r="D84" s="178"/>
      <c r="E84" s="178" t="s">
        <v>2</v>
      </c>
      <c r="F84" s="178"/>
      <c r="G84" s="178" t="s">
        <v>2</v>
      </c>
      <c r="H84" s="180" t="s">
        <v>2</v>
      </c>
      <c r="I84" s="178"/>
      <c r="J84" s="180" t="s">
        <v>2</v>
      </c>
      <c r="K84" s="178"/>
      <c r="L84" s="180" t="s">
        <v>2</v>
      </c>
      <c r="M84" s="178"/>
      <c r="N84" s="178"/>
      <c r="O84" s="178" t="s">
        <v>2</v>
      </c>
      <c r="P84" s="178" t="s">
        <v>2</v>
      </c>
      <c r="Q84" s="178"/>
      <c r="R84" s="178" t="s">
        <v>2</v>
      </c>
      <c r="S84" s="196" t="s">
        <v>2</v>
      </c>
      <c r="T84" s="54">
        <v>149</v>
      </c>
      <c r="U84" s="55">
        <v>150</v>
      </c>
      <c r="V84" s="198" t="s">
        <v>31</v>
      </c>
      <c r="W84" s="93" t="s">
        <v>1628</v>
      </c>
      <c r="X84" s="197"/>
      <c r="Y84" s="197"/>
      <c r="Z84" s="93" t="s">
        <v>2022</v>
      </c>
      <c r="AA84" s="35"/>
      <c r="AB84" s="34" t="s">
        <v>1135</v>
      </c>
      <c r="AC84" s="158" t="s">
        <v>2570</v>
      </c>
      <c r="AD84" s="35"/>
      <c r="AE84" s="158" t="s">
        <v>2433</v>
      </c>
      <c r="AF84" s="112"/>
      <c r="AG84" s="158" t="s">
        <v>3061</v>
      </c>
      <c r="AH84" s="112"/>
      <c r="AI84" s="33"/>
      <c r="AJ84" s="91" t="s">
        <v>2138</v>
      </c>
      <c r="AK84" s="91"/>
      <c r="AL84" s="57"/>
      <c r="AM84" s="127" t="s">
        <v>104</v>
      </c>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row>
    <row r="85" spans="1:74" ht="14.1" customHeight="1">
      <c r="A85" s="19"/>
      <c r="B85" s="93" t="s">
        <v>1631</v>
      </c>
      <c r="C85" s="93"/>
      <c r="D85" s="93"/>
      <c r="E85" s="93" t="s">
        <v>2261</v>
      </c>
      <c r="F85" s="93"/>
      <c r="G85" s="91" t="s">
        <v>1207</v>
      </c>
      <c r="H85" s="184" t="s">
        <v>2516</v>
      </c>
      <c r="I85" s="93"/>
      <c r="J85" s="184" t="s">
        <v>2545</v>
      </c>
      <c r="K85" s="93"/>
      <c r="L85" s="184" t="s">
        <v>3022</v>
      </c>
      <c r="M85" s="93"/>
      <c r="N85" s="93"/>
      <c r="O85" s="91" t="s">
        <v>2161</v>
      </c>
      <c r="P85" s="91"/>
      <c r="Q85" s="91"/>
      <c r="R85" s="91" t="s">
        <v>86</v>
      </c>
      <c r="S85" s="198" t="s">
        <v>32</v>
      </c>
      <c r="T85" s="54">
        <v>151</v>
      </c>
      <c r="U85" s="55">
        <v>152</v>
      </c>
      <c r="V85" s="196" t="s">
        <v>2</v>
      </c>
      <c r="W85" s="178" t="s">
        <v>2</v>
      </c>
      <c r="X85" s="172"/>
      <c r="Y85" s="172"/>
      <c r="Z85" s="178" t="s">
        <v>2</v>
      </c>
      <c r="AA85" s="36"/>
      <c r="AB85" s="32" t="s">
        <v>2</v>
      </c>
      <c r="AC85" s="155" t="s">
        <v>2</v>
      </c>
      <c r="AD85" s="36"/>
      <c r="AE85" s="155" t="s">
        <v>2</v>
      </c>
      <c r="AF85" s="111"/>
      <c r="AG85" s="155" t="s">
        <v>2</v>
      </c>
      <c r="AH85" s="111"/>
      <c r="AI85" s="36"/>
      <c r="AJ85" s="32" t="s">
        <v>2</v>
      </c>
      <c r="AK85" s="32" t="s">
        <v>2</v>
      </c>
      <c r="AL85" s="37"/>
      <c r="AM85" s="37" t="s">
        <v>2</v>
      </c>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row>
    <row r="86" spans="1:74" ht="14.1" customHeight="1">
      <c r="A86" s="19"/>
      <c r="B86" s="93" t="s">
        <v>1630</v>
      </c>
      <c r="C86" s="93"/>
      <c r="D86" s="93"/>
      <c r="E86" s="93" t="s">
        <v>2262</v>
      </c>
      <c r="F86" s="93"/>
      <c r="G86" s="91" t="s">
        <v>1208</v>
      </c>
      <c r="H86" s="184" t="s">
        <v>2517</v>
      </c>
      <c r="I86" s="93"/>
      <c r="J86" s="184" t="s">
        <v>2546</v>
      </c>
      <c r="K86" s="93"/>
      <c r="L86" s="184" t="s">
        <v>3023</v>
      </c>
      <c r="M86" s="93"/>
      <c r="N86" s="93"/>
      <c r="O86" s="91" t="s">
        <v>2162</v>
      </c>
      <c r="P86" s="91"/>
      <c r="Q86" s="91"/>
      <c r="R86" s="91" t="s">
        <v>87</v>
      </c>
      <c r="S86" s="198" t="s">
        <v>33</v>
      </c>
      <c r="T86" s="54">
        <v>153</v>
      </c>
      <c r="U86" s="55">
        <v>154</v>
      </c>
      <c r="V86" s="185" t="s">
        <v>10</v>
      </c>
      <c r="W86" s="91" t="s">
        <v>1633</v>
      </c>
      <c r="X86" s="197"/>
      <c r="Y86" s="93"/>
      <c r="Z86" s="91" t="s">
        <v>2027</v>
      </c>
      <c r="AA86" s="34"/>
      <c r="AB86" s="35" t="s">
        <v>1167</v>
      </c>
      <c r="AC86" s="154" t="s">
        <v>2571</v>
      </c>
      <c r="AD86" s="34"/>
      <c r="AE86" s="154" t="s">
        <v>2542</v>
      </c>
      <c r="AF86" s="109"/>
      <c r="AG86" s="154" t="s">
        <v>3062</v>
      </c>
      <c r="AH86" s="109"/>
      <c r="AI86" s="33"/>
      <c r="AJ86" s="91" t="s">
        <v>2124</v>
      </c>
      <c r="AK86" s="91"/>
      <c r="AL86" s="57"/>
      <c r="AM86" s="127" t="s">
        <v>105</v>
      </c>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row>
    <row r="87" spans="1:74" ht="14.1" customHeight="1">
      <c r="A87" s="19"/>
      <c r="B87" s="178" t="s">
        <v>2</v>
      </c>
      <c r="C87" s="172"/>
      <c r="D87" s="172"/>
      <c r="E87" s="178" t="s">
        <v>2</v>
      </c>
      <c r="F87" s="172"/>
      <c r="G87" s="178" t="s">
        <v>2</v>
      </c>
      <c r="H87" s="180" t="s">
        <v>2</v>
      </c>
      <c r="I87" s="172"/>
      <c r="J87" s="180" t="s">
        <v>2</v>
      </c>
      <c r="K87" s="172"/>
      <c r="L87" s="180" t="s">
        <v>2</v>
      </c>
      <c r="M87" s="172"/>
      <c r="N87" s="172"/>
      <c r="O87" s="178" t="s">
        <v>2</v>
      </c>
      <c r="P87" s="178" t="s">
        <v>2</v>
      </c>
      <c r="Q87" s="178"/>
      <c r="R87" s="178" t="s">
        <v>2</v>
      </c>
      <c r="S87" s="196" t="s">
        <v>2</v>
      </c>
      <c r="T87" s="54">
        <v>155</v>
      </c>
      <c r="U87" s="55">
        <v>156</v>
      </c>
      <c r="V87" s="185" t="s">
        <v>11</v>
      </c>
      <c r="W87" s="91" t="s">
        <v>1632</v>
      </c>
      <c r="X87" s="197"/>
      <c r="Y87" s="93"/>
      <c r="Z87" s="91" t="s">
        <v>2028</v>
      </c>
      <c r="AA87" s="34"/>
      <c r="AB87" s="35" t="s">
        <v>1168</v>
      </c>
      <c r="AC87" s="154" t="s">
        <v>2572</v>
      </c>
      <c r="AD87" s="34"/>
      <c r="AE87" s="154" t="s">
        <v>2543</v>
      </c>
      <c r="AF87" s="109"/>
      <c r="AG87" s="154" t="s">
        <v>3063</v>
      </c>
      <c r="AH87" s="109"/>
      <c r="AI87" s="33"/>
      <c r="AJ87" s="91" t="s">
        <v>2123</v>
      </c>
      <c r="AK87" s="91"/>
      <c r="AL87" s="57"/>
      <c r="AM87" s="127" t="s">
        <v>106</v>
      </c>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row>
    <row r="88" spans="1:74" ht="14.1" customHeight="1">
      <c r="A88" s="19"/>
      <c r="B88" s="91" t="s">
        <v>1651</v>
      </c>
      <c r="C88" s="197"/>
      <c r="D88" s="197"/>
      <c r="E88" s="91" t="s">
        <v>2271</v>
      </c>
      <c r="F88" s="91"/>
      <c r="G88" s="91" t="s">
        <v>1205</v>
      </c>
      <c r="H88" s="182" t="s">
        <v>2518</v>
      </c>
      <c r="I88" s="91"/>
      <c r="J88" s="182" t="s">
        <v>3088</v>
      </c>
      <c r="K88" s="91"/>
      <c r="L88" s="182" t="s">
        <v>3024</v>
      </c>
      <c r="M88" s="91"/>
      <c r="N88" s="197"/>
      <c r="O88" s="91" t="s">
        <v>1655</v>
      </c>
      <c r="P88" s="91"/>
      <c r="Q88" s="91" t="s">
        <v>2031</v>
      </c>
      <c r="R88" s="91" t="s">
        <v>125</v>
      </c>
      <c r="S88" s="185" t="s">
        <v>10</v>
      </c>
      <c r="T88" s="54">
        <v>157</v>
      </c>
      <c r="U88" s="55">
        <v>158</v>
      </c>
      <c r="V88" s="199" t="s">
        <v>9</v>
      </c>
      <c r="W88" s="172" t="s">
        <v>1654</v>
      </c>
      <c r="X88" s="178"/>
      <c r="Y88" s="178"/>
      <c r="Z88" s="172" t="s">
        <v>557</v>
      </c>
      <c r="AA88" s="32"/>
      <c r="AB88" s="36" t="s">
        <v>1006</v>
      </c>
      <c r="AC88" s="153" t="s">
        <v>2180</v>
      </c>
      <c r="AD88" s="32"/>
      <c r="AE88" s="226" t="s">
        <v>239</v>
      </c>
      <c r="AF88" s="108"/>
      <c r="AG88" s="226" t="s">
        <v>239</v>
      </c>
      <c r="AH88" s="108"/>
      <c r="AI88" s="32"/>
      <c r="AJ88" s="36" t="s">
        <v>2613</v>
      </c>
      <c r="AK88" s="36" t="s">
        <v>413</v>
      </c>
      <c r="AL88" s="38"/>
      <c r="AM88" s="38" t="s">
        <v>413</v>
      </c>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row>
    <row r="89" spans="1:74" ht="14.1" customHeight="1">
      <c r="A89" s="19"/>
      <c r="B89" s="91" t="s">
        <v>1650</v>
      </c>
      <c r="C89" s="197"/>
      <c r="D89" s="197"/>
      <c r="E89" s="91" t="s">
        <v>2272</v>
      </c>
      <c r="F89" s="91"/>
      <c r="G89" s="91" t="s">
        <v>1206</v>
      </c>
      <c r="H89" s="182" t="s">
        <v>2519</v>
      </c>
      <c r="I89" s="91"/>
      <c r="J89" s="182" t="s">
        <v>2544</v>
      </c>
      <c r="K89" s="91"/>
      <c r="L89" s="182" t="s">
        <v>3025</v>
      </c>
      <c r="M89" s="91"/>
      <c r="N89" s="197"/>
      <c r="O89" s="91" t="s">
        <v>1656</v>
      </c>
      <c r="P89" s="91"/>
      <c r="Q89" s="91"/>
      <c r="R89" s="91" t="s">
        <v>127</v>
      </c>
      <c r="S89" s="185" t="s">
        <v>11</v>
      </c>
      <c r="T89" s="54">
        <v>159</v>
      </c>
      <c r="U89" s="55">
        <v>160</v>
      </c>
      <c r="V89" s="185" t="s">
        <v>10</v>
      </c>
      <c r="W89" s="91" t="s">
        <v>1641</v>
      </c>
      <c r="X89" s="197"/>
      <c r="Y89" s="197"/>
      <c r="Z89" s="91" t="s">
        <v>1981</v>
      </c>
      <c r="AA89" s="35"/>
      <c r="AB89" s="35" t="s">
        <v>1171</v>
      </c>
      <c r="AC89" s="154" t="s">
        <v>2575</v>
      </c>
      <c r="AD89" s="35"/>
      <c r="AE89" s="154" t="s">
        <v>2547</v>
      </c>
      <c r="AF89" s="112"/>
      <c r="AG89" s="154" t="s">
        <v>3064</v>
      </c>
      <c r="AH89" s="112"/>
      <c r="AI89" s="33"/>
      <c r="AJ89" s="91" t="s">
        <v>2122</v>
      </c>
      <c r="AK89" s="91"/>
      <c r="AL89" s="57"/>
      <c r="AM89" s="127" t="s">
        <v>144</v>
      </c>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row>
    <row r="90" spans="1:74" ht="14.1" customHeight="1">
      <c r="A90" s="19"/>
      <c r="B90" s="91" t="s">
        <v>1643</v>
      </c>
      <c r="C90" s="178"/>
      <c r="D90" s="178"/>
      <c r="E90" s="91" t="s">
        <v>1979</v>
      </c>
      <c r="F90" s="178"/>
      <c r="G90" s="91" t="s">
        <v>1209</v>
      </c>
      <c r="H90" s="182" t="s">
        <v>2520</v>
      </c>
      <c r="I90" s="178"/>
      <c r="J90" s="182" t="s">
        <v>2549</v>
      </c>
      <c r="K90" s="91"/>
      <c r="L90" s="182" t="s">
        <v>3026</v>
      </c>
      <c r="M90" s="178"/>
      <c r="N90" s="178"/>
      <c r="O90" s="91" t="s">
        <v>2163</v>
      </c>
      <c r="P90" s="91"/>
      <c r="Q90" s="91"/>
      <c r="R90" s="91" t="s">
        <v>121</v>
      </c>
      <c r="S90" s="185" t="s">
        <v>10</v>
      </c>
      <c r="T90" s="54">
        <v>161</v>
      </c>
      <c r="U90" s="55">
        <v>162</v>
      </c>
      <c r="V90" s="185" t="s">
        <v>11</v>
      </c>
      <c r="W90" s="91" t="s">
        <v>1640</v>
      </c>
      <c r="X90" s="197"/>
      <c r="Y90" s="197"/>
      <c r="Z90" s="91" t="s">
        <v>1982</v>
      </c>
      <c r="AA90" s="35"/>
      <c r="AB90" s="35" t="s">
        <v>1172</v>
      </c>
      <c r="AC90" s="154" t="s">
        <v>2576</v>
      </c>
      <c r="AD90" s="35"/>
      <c r="AE90" s="154" t="s">
        <v>2548</v>
      </c>
      <c r="AF90" s="112"/>
      <c r="AG90" s="154" t="s">
        <v>3065</v>
      </c>
      <c r="AH90" s="112"/>
      <c r="AI90" s="33"/>
      <c r="AJ90" s="91" t="s">
        <v>2121</v>
      </c>
      <c r="AK90" s="91"/>
      <c r="AL90" s="57"/>
      <c r="AM90" s="127" t="s">
        <v>145</v>
      </c>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row>
    <row r="91" spans="1:74" ht="14.1" customHeight="1">
      <c r="A91" s="19"/>
      <c r="B91" s="91" t="s">
        <v>1642</v>
      </c>
      <c r="C91" s="197"/>
      <c r="D91" s="197"/>
      <c r="E91" s="91" t="s">
        <v>1980</v>
      </c>
      <c r="F91" s="91"/>
      <c r="G91" s="91" t="s">
        <v>1210</v>
      </c>
      <c r="H91" s="182" t="s">
        <v>2521</v>
      </c>
      <c r="I91" s="91"/>
      <c r="J91" s="182" t="s">
        <v>2550</v>
      </c>
      <c r="K91" s="91"/>
      <c r="L91" s="182" t="s">
        <v>3027</v>
      </c>
      <c r="M91" s="91"/>
      <c r="N91" s="197"/>
      <c r="O91" s="91" t="s">
        <v>2164</v>
      </c>
      <c r="P91" s="91"/>
      <c r="Q91" s="91"/>
      <c r="R91" s="91" t="s">
        <v>123</v>
      </c>
      <c r="S91" s="185" t="s">
        <v>11</v>
      </c>
      <c r="T91" s="54">
        <v>163</v>
      </c>
      <c r="U91" s="55">
        <v>164</v>
      </c>
      <c r="V91" s="185" t="s">
        <v>10</v>
      </c>
      <c r="W91" s="91" t="s">
        <v>1649</v>
      </c>
      <c r="X91" s="197"/>
      <c r="Y91" s="197"/>
      <c r="Z91" s="91" t="s">
        <v>2023</v>
      </c>
      <c r="AA91" s="35"/>
      <c r="AB91" s="35" t="s">
        <v>1163</v>
      </c>
      <c r="AC91" s="154" t="s">
        <v>2573</v>
      </c>
      <c r="AD91" s="35"/>
      <c r="AE91" s="154" t="s">
        <v>2551</v>
      </c>
      <c r="AF91" s="112"/>
      <c r="AG91" s="154" t="s">
        <v>3066</v>
      </c>
      <c r="AH91" s="112"/>
      <c r="AI91" s="33"/>
      <c r="AJ91" s="91" t="s">
        <v>2120</v>
      </c>
      <c r="AK91" s="91"/>
      <c r="AL91" s="57"/>
      <c r="AM91" s="127" t="s">
        <v>142</v>
      </c>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row>
    <row r="92" spans="1:74" ht="14.1" customHeight="1">
      <c r="A92" s="19"/>
      <c r="B92" s="172" t="s">
        <v>4</v>
      </c>
      <c r="C92" s="197"/>
      <c r="D92" s="197"/>
      <c r="E92" s="172" t="s">
        <v>236</v>
      </c>
      <c r="F92" s="91"/>
      <c r="G92" s="172" t="s">
        <v>236</v>
      </c>
      <c r="H92" s="176" t="s">
        <v>4</v>
      </c>
      <c r="I92" s="91"/>
      <c r="J92" s="176" t="s">
        <v>4</v>
      </c>
      <c r="K92" s="197"/>
      <c r="L92" s="176" t="s">
        <v>4</v>
      </c>
      <c r="M92" s="91"/>
      <c r="N92" s="197"/>
      <c r="O92" s="172" t="s">
        <v>239</v>
      </c>
      <c r="P92" s="172" t="s">
        <v>4</v>
      </c>
      <c r="Q92" s="172"/>
      <c r="R92" s="172" t="s">
        <v>4</v>
      </c>
      <c r="S92" s="199" t="s">
        <v>6</v>
      </c>
      <c r="T92" s="54">
        <v>165</v>
      </c>
      <c r="U92" s="55">
        <v>166</v>
      </c>
      <c r="V92" s="185" t="s">
        <v>11</v>
      </c>
      <c r="W92" s="91" t="s">
        <v>1648</v>
      </c>
      <c r="X92" s="197"/>
      <c r="Y92" s="197"/>
      <c r="Z92" s="91" t="s">
        <v>2024</v>
      </c>
      <c r="AA92" s="35"/>
      <c r="AB92" s="35" t="s">
        <v>1164</v>
      </c>
      <c r="AC92" s="154" t="s">
        <v>2574</v>
      </c>
      <c r="AD92" s="35"/>
      <c r="AE92" s="154" t="s">
        <v>2552</v>
      </c>
      <c r="AF92" s="112"/>
      <c r="AG92" s="154" t="s">
        <v>3067</v>
      </c>
      <c r="AH92" s="112"/>
      <c r="AI92" s="33"/>
      <c r="AJ92" s="91" t="s">
        <v>2119</v>
      </c>
      <c r="AK92" s="91"/>
      <c r="AL92" s="57"/>
      <c r="AM92" s="127" t="s">
        <v>143</v>
      </c>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row>
    <row r="93" spans="1:74" ht="14.1" customHeight="1">
      <c r="A93" s="19"/>
      <c r="B93" s="57" t="s">
        <v>1173</v>
      </c>
      <c r="C93" s="37"/>
      <c r="D93" s="38"/>
      <c r="E93" s="57" t="s">
        <v>1173</v>
      </c>
      <c r="F93" s="38"/>
      <c r="G93" s="57" t="s">
        <v>1173</v>
      </c>
      <c r="H93" s="200" t="s">
        <v>1173</v>
      </c>
      <c r="I93" s="38"/>
      <c r="J93" s="200" t="s">
        <v>1173</v>
      </c>
      <c r="K93" s="38"/>
      <c r="L93" s="200" t="s">
        <v>1173</v>
      </c>
      <c r="M93" s="38"/>
      <c r="N93" s="37"/>
      <c r="O93" s="57" t="s">
        <v>1173</v>
      </c>
      <c r="P93" s="57" t="s">
        <v>1173</v>
      </c>
      <c r="Q93" s="57"/>
      <c r="R93" s="57" t="s">
        <v>1173</v>
      </c>
      <c r="S93" s="185" t="s">
        <v>19</v>
      </c>
      <c r="T93" s="56">
        <v>167</v>
      </c>
      <c r="U93" s="27">
        <v>168</v>
      </c>
      <c r="V93" s="196" t="s">
        <v>2</v>
      </c>
      <c r="W93" s="178" t="s">
        <v>2</v>
      </c>
      <c r="X93" s="37"/>
      <c r="Y93" s="38"/>
      <c r="Z93" s="178" t="s">
        <v>2</v>
      </c>
      <c r="AA93" s="38"/>
      <c r="AB93" s="32" t="s">
        <v>2</v>
      </c>
      <c r="AC93" s="156" t="s">
        <v>2</v>
      </c>
      <c r="AD93" s="38"/>
      <c r="AE93" s="156" t="s">
        <v>2</v>
      </c>
      <c r="AF93" s="111"/>
      <c r="AG93" s="156" t="s">
        <v>2</v>
      </c>
      <c r="AH93" s="111"/>
      <c r="AI93" s="37"/>
      <c r="AJ93" s="32" t="s">
        <v>2</v>
      </c>
      <c r="AK93" s="32" t="s">
        <v>2</v>
      </c>
      <c r="AL93" s="37"/>
      <c r="AM93" s="37" t="s">
        <v>2</v>
      </c>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row>
    <row r="94" spans="1:74">
      <c r="A94" s="25"/>
      <c r="B94" s="90"/>
      <c r="C94" s="89"/>
      <c r="D94" s="90"/>
      <c r="E94" s="90"/>
      <c r="F94" s="90"/>
      <c r="G94" s="90"/>
      <c r="H94" s="90"/>
      <c r="I94" s="90"/>
      <c r="J94" s="90"/>
      <c r="K94" s="90"/>
      <c r="L94" s="90"/>
      <c r="M94" s="90"/>
      <c r="N94" s="90"/>
      <c r="O94" s="90"/>
      <c r="P94" s="90"/>
      <c r="Q94" s="90"/>
      <c r="R94" s="90"/>
      <c r="S94" s="26"/>
      <c r="T94" s="27"/>
      <c r="U94" s="27"/>
      <c r="V94" s="28"/>
      <c r="W94" s="90"/>
      <c r="X94" s="89"/>
      <c r="Y94" s="90"/>
      <c r="Z94" s="90"/>
      <c r="AA94" s="90"/>
      <c r="AB94" s="90"/>
      <c r="AC94" s="90"/>
      <c r="AD94" s="90"/>
      <c r="AE94" s="90"/>
      <c r="AF94" s="90"/>
      <c r="AG94" s="90"/>
      <c r="AH94" s="90"/>
      <c r="AI94" s="90"/>
      <c r="AJ94" s="90"/>
      <c r="AK94" s="90"/>
      <c r="AL94" s="90"/>
      <c r="AM94" s="98"/>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row>
    <row r="95" spans="1:74">
      <c r="A95" s="14"/>
      <c r="B95" s="94"/>
      <c r="C95" s="25"/>
      <c r="D95" s="94"/>
      <c r="E95" s="94"/>
      <c r="F95" s="94"/>
      <c r="G95" s="94"/>
      <c r="H95" s="94"/>
      <c r="I95" s="94"/>
      <c r="J95" s="94"/>
      <c r="K95" s="94"/>
      <c r="L95" s="94"/>
      <c r="M95" s="94"/>
      <c r="N95" s="94"/>
      <c r="O95" s="94"/>
      <c r="P95" s="94"/>
      <c r="Q95" s="94"/>
      <c r="R95" s="94"/>
      <c r="S95" s="14"/>
      <c r="T95" s="15"/>
      <c r="U95" s="15"/>
      <c r="V95" s="16"/>
      <c r="W95" s="94"/>
      <c r="X95" s="25"/>
      <c r="Y95" s="94"/>
      <c r="Z95" s="94"/>
      <c r="AA95" s="94"/>
      <c r="AB95" s="94"/>
      <c r="AC95" s="94"/>
      <c r="AD95" s="94"/>
      <c r="AE95" s="94"/>
      <c r="AF95" s="94"/>
      <c r="AG95" s="94"/>
      <c r="AH95" s="94"/>
      <c r="AI95" s="94"/>
      <c r="AJ95" s="94"/>
      <c r="AK95" s="94"/>
      <c r="AL95" s="94"/>
      <c r="AM95" s="99"/>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row>
    <row r="96" spans="1:74">
      <c r="A96" s="14"/>
      <c r="B96" s="94"/>
      <c r="C96" s="25"/>
      <c r="D96" s="94"/>
      <c r="E96" s="94"/>
      <c r="F96" s="94"/>
      <c r="G96" s="94"/>
      <c r="H96" s="94"/>
      <c r="I96" s="94"/>
      <c r="J96" s="94"/>
      <c r="K96" s="94"/>
      <c r="L96" s="94"/>
      <c r="M96" s="94"/>
      <c r="N96" s="94"/>
      <c r="O96" s="94"/>
      <c r="P96" s="94"/>
      <c r="Q96" s="94"/>
      <c r="R96" s="94"/>
      <c r="S96" s="14"/>
      <c r="T96" s="15"/>
      <c r="U96" s="15"/>
      <c r="V96" s="16"/>
      <c r="W96" s="94"/>
      <c r="X96" s="25"/>
      <c r="Y96" s="94"/>
      <c r="Z96" s="94"/>
      <c r="AA96" s="94"/>
      <c r="AB96" s="94"/>
      <c r="AC96" s="94"/>
      <c r="AD96" s="94"/>
      <c r="AE96" s="94"/>
      <c r="AF96" s="94"/>
      <c r="AG96" s="94"/>
      <c r="AH96" s="94"/>
      <c r="AI96" s="94"/>
      <c r="AJ96" s="94"/>
      <c r="AK96" s="94"/>
      <c r="AL96" s="94"/>
      <c r="AM96" s="99"/>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row>
    <row r="97" spans="1:74">
      <c r="A97" s="14"/>
      <c r="B97" s="94"/>
      <c r="C97" s="25"/>
      <c r="D97" s="94"/>
      <c r="E97" s="94"/>
      <c r="F97" s="94"/>
      <c r="G97" s="94"/>
      <c r="H97" s="94"/>
      <c r="I97" s="94"/>
      <c r="J97" s="94"/>
      <c r="K97" s="94"/>
      <c r="L97" s="94"/>
      <c r="M97" s="94"/>
      <c r="N97" s="94"/>
      <c r="O97" s="94"/>
      <c r="P97" s="94"/>
      <c r="Q97" s="94"/>
      <c r="R97" s="94"/>
      <c r="S97" s="14"/>
      <c r="T97" s="15"/>
      <c r="U97" s="15"/>
      <c r="V97" s="16"/>
      <c r="W97" s="94"/>
      <c r="X97" s="25"/>
      <c r="Y97" s="94"/>
      <c r="Z97" s="94"/>
      <c r="AA97" s="94"/>
      <c r="AB97" s="94"/>
      <c r="AC97" s="94"/>
      <c r="AD97" s="94"/>
      <c r="AE97" s="94"/>
      <c r="AF97" s="94"/>
      <c r="AG97" s="94"/>
      <c r="AH97" s="94"/>
      <c r="AI97" s="94"/>
      <c r="AJ97" s="94"/>
      <c r="AK97" s="94"/>
      <c r="AL97" s="94"/>
      <c r="AM97" s="99"/>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row>
    <row r="98" spans="1:74">
      <c r="A98" s="14"/>
      <c r="B98" s="94"/>
      <c r="C98" s="25"/>
      <c r="D98" s="94"/>
      <c r="E98" s="94"/>
      <c r="F98" s="94"/>
      <c r="G98" s="94"/>
      <c r="H98" s="94"/>
      <c r="I98" s="94"/>
      <c r="J98" s="94"/>
      <c r="K98" s="94"/>
      <c r="L98" s="94"/>
      <c r="M98" s="94"/>
      <c r="N98" s="94"/>
      <c r="O98" s="94"/>
      <c r="P98" s="94"/>
      <c r="Q98" s="94"/>
      <c r="R98" s="94"/>
      <c r="S98" s="14"/>
      <c r="T98" s="15"/>
      <c r="U98" s="15"/>
      <c r="V98" s="16"/>
      <c r="W98" s="94"/>
      <c r="X98" s="25"/>
      <c r="Y98" s="94"/>
      <c r="Z98" s="94"/>
      <c r="AA98" s="94"/>
      <c r="AB98" s="94"/>
      <c r="AC98" s="94"/>
      <c r="AD98" s="94"/>
      <c r="AE98" s="94"/>
      <c r="AF98" s="94"/>
      <c r="AG98" s="94"/>
      <c r="AH98" s="94"/>
      <c r="AI98" s="94"/>
      <c r="AJ98" s="94"/>
      <c r="AK98" s="94"/>
      <c r="AL98" s="94"/>
      <c r="AM98" s="99"/>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row>
    <row r="99" spans="1:74">
      <c r="A99" s="14"/>
      <c r="B99" s="94"/>
      <c r="C99" s="25"/>
      <c r="D99" s="94"/>
      <c r="E99" s="94"/>
      <c r="F99" s="94"/>
      <c r="G99" s="94"/>
      <c r="H99" s="94"/>
      <c r="I99" s="94"/>
      <c r="J99" s="94"/>
      <c r="K99" s="94"/>
      <c r="L99" s="94"/>
      <c r="M99" s="94"/>
      <c r="N99" s="94"/>
      <c r="O99" s="94"/>
      <c r="P99" s="94"/>
      <c r="Q99" s="94"/>
      <c r="R99" s="94"/>
      <c r="S99" s="14"/>
      <c r="T99" s="15"/>
      <c r="U99" s="15"/>
      <c r="V99" s="16"/>
      <c r="W99" s="94"/>
      <c r="X99" s="25"/>
      <c r="Y99" s="94"/>
      <c r="Z99" s="94"/>
      <c r="AA99" s="94"/>
      <c r="AB99" s="94"/>
      <c r="AC99" s="94"/>
      <c r="AD99" s="94"/>
      <c r="AE99" s="94"/>
      <c r="AF99" s="94"/>
      <c r="AG99" s="94"/>
      <c r="AH99" s="94"/>
      <c r="AI99" s="94"/>
      <c r="AJ99" s="94"/>
      <c r="AK99" s="94"/>
      <c r="AL99" s="94"/>
      <c r="AM99" s="99"/>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row>
    <row r="100" spans="1:74">
      <c r="A100" s="14"/>
      <c r="B100" s="94"/>
      <c r="C100" s="25"/>
      <c r="D100" s="94"/>
      <c r="E100" s="94"/>
      <c r="F100" s="94"/>
      <c r="G100" s="94"/>
      <c r="H100" s="94"/>
      <c r="I100" s="94"/>
      <c r="J100" s="94"/>
      <c r="K100" s="94"/>
      <c r="L100" s="94"/>
      <c r="M100" s="94"/>
      <c r="N100" s="94"/>
      <c r="O100" s="94"/>
      <c r="P100" s="94"/>
      <c r="Q100" s="94"/>
      <c r="R100" s="94"/>
      <c r="S100" s="14"/>
      <c r="T100" s="15"/>
      <c r="U100" s="15"/>
      <c r="V100" s="16"/>
      <c r="W100" s="94"/>
      <c r="X100" s="25"/>
      <c r="Y100" s="94"/>
      <c r="Z100" s="94"/>
      <c r="AA100" s="94"/>
      <c r="AB100" s="94"/>
      <c r="AC100" s="94"/>
      <c r="AD100" s="94"/>
      <c r="AE100" s="94"/>
      <c r="AF100" s="94"/>
      <c r="AG100" s="94"/>
      <c r="AH100" s="94"/>
      <c r="AI100" s="94"/>
      <c r="AJ100" s="94"/>
      <c r="AK100" s="94"/>
      <c r="AL100" s="94"/>
      <c r="AM100" s="99"/>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row>
    <row r="101" spans="1:74">
      <c r="A101" s="14"/>
      <c r="B101" s="94"/>
      <c r="C101" s="25"/>
      <c r="D101" s="94"/>
      <c r="E101" s="94"/>
      <c r="F101" s="94"/>
      <c r="G101" s="94"/>
      <c r="H101" s="94"/>
      <c r="I101" s="94"/>
      <c r="J101" s="94"/>
      <c r="K101" s="94"/>
      <c r="L101" s="94"/>
      <c r="M101" s="94"/>
      <c r="N101" s="94"/>
      <c r="O101" s="94"/>
      <c r="P101" s="94"/>
      <c r="Q101" s="94"/>
      <c r="R101" s="94"/>
      <c r="S101" s="14"/>
      <c r="T101" s="15"/>
      <c r="U101" s="15"/>
      <c r="V101" s="16"/>
      <c r="W101" s="94"/>
      <c r="X101" s="25"/>
      <c r="Y101" s="94"/>
      <c r="Z101" s="94"/>
      <c r="AA101" s="94"/>
      <c r="AB101" s="94"/>
      <c r="AC101" s="94"/>
      <c r="AD101" s="94"/>
      <c r="AE101" s="94"/>
      <c r="AF101" s="94"/>
      <c r="AG101" s="94"/>
      <c r="AH101" s="94"/>
      <c r="AI101" s="94"/>
      <c r="AJ101" s="94"/>
      <c r="AK101" s="94"/>
      <c r="AL101" s="94"/>
      <c r="AM101" s="99"/>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row>
    <row r="102" spans="1:74">
      <c r="A102" s="14"/>
      <c r="B102" s="94"/>
      <c r="C102" s="25"/>
      <c r="D102" s="94"/>
      <c r="E102" s="94"/>
      <c r="F102" s="94"/>
      <c r="G102" s="94"/>
      <c r="H102" s="94"/>
      <c r="I102" s="94"/>
      <c r="J102" s="94"/>
      <c r="K102" s="94"/>
      <c r="L102" s="94"/>
      <c r="M102" s="94"/>
      <c r="N102" s="94"/>
      <c r="O102" s="94"/>
      <c r="P102" s="94"/>
      <c r="Q102" s="94"/>
      <c r="R102" s="94"/>
      <c r="S102" s="14"/>
      <c r="T102" s="15"/>
      <c r="U102" s="15"/>
      <c r="V102" s="16"/>
      <c r="W102" s="94"/>
      <c r="X102" s="25"/>
      <c r="Y102" s="94"/>
      <c r="Z102" s="94"/>
      <c r="AA102" s="94"/>
      <c r="AB102" s="94"/>
      <c r="AC102" s="94"/>
      <c r="AD102" s="94"/>
      <c r="AE102" s="94"/>
      <c r="AF102" s="94"/>
      <c r="AG102" s="94"/>
      <c r="AH102" s="94"/>
      <c r="AI102" s="94"/>
      <c r="AJ102" s="94"/>
      <c r="AK102" s="94"/>
      <c r="AL102" s="94"/>
      <c r="AM102" s="99"/>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row>
    <row r="103" spans="1:74">
      <c r="A103" s="14"/>
      <c r="B103" s="94"/>
      <c r="C103" s="25"/>
      <c r="D103" s="94"/>
      <c r="E103" s="94"/>
      <c r="F103" s="94"/>
      <c r="G103" s="94"/>
      <c r="H103" s="94"/>
      <c r="I103" s="94"/>
      <c r="J103" s="94"/>
      <c r="K103" s="94"/>
      <c r="L103" s="94"/>
      <c r="M103" s="94"/>
      <c r="N103" s="94"/>
      <c r="O103" s="94"/>
      <c r="P103" s="94"/>
      <c r="Q103" s="94"/>
      <c r="R103" s="94"/>
      <c r="S103" s="14"/>
      <c r="T103" s="15"/>
      <c r="U103" s="15"/>
      <c r="V103" s="16"/>
      <c r="W103" s="94"/>
      <c r="X103" s="25"/>
      <c r="Y103" s="94"/>
      <c r="Z103" s="94"/>
      <c r="AA103" s="94"/>
      <c r="AB103" s="94"/>
      <c r="AC103" s="94"/>
      <c r="AD103" s="94"/>
      <c r="AE103" s="94"/>
      <c r="AF103" s="94"/>
      <c r="AG103" s="94"/>
      <c r="AH103" s="94"/>
      <c r="AI103" s="94"/>
      <c r="AJ103" s="94"/>
      <c r="AK103" s="94"/>
      <c r="AL103" s="94"/>
      <c r="AM103" s="99"/>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row>
    <row r="104" spans="1:74">
      <c r="A104" s="14"/>
      <c r="B104" s="94"/>
      <c r="C104" s="25"/>
      <c r="D104" s="94"/>
      <c r="E104" s="94"/>
      <c r="F104" s="94"/>
      <c r="G104" s="94"/>
      <c r="H104" s="94"/>
      <c r="I104" s="94"/>
      <c r="J104" s="94"/>
      <c r="K104" s="94"/>
      <c r="L104" s="94"/>
      <c r="M104" s="94"/>
      <c r="N104" s="94"/>
      <c r="O104" s="94"/>
      <c r="P104" s="94"/>
      <c r="Q104" s="94"/>
      <c r="R104" s="94"/>
      <c r="S104" s="14"/>
      <c r="T104" s="15"/>
      <c r="U104" s="15"/>
      <c r="V104" s="16"/>
      <c r="W104" s="94"/>
      <c r="X104" s="25"/>
      <c r="Y104" s="94"/>
      <c r="Z104" s="94"/>
      <c r="AA104" s="94"/>
      <c r="AB104" s="94"/>
      <c r="AC104" s="94"/>
      <c r="AD104" s="94"/>
      <c r="AE104" s="94"/>
      <c r="AF104" s="94"/>
      <c r="AG104" s="94"/>
      <c r="AH104" s="94"/>
      <c r="AI104" s="94"/>
      <c r="AJ104" s="94"/>
      <c r="AK104" s="94"/>
      <c r="AL104" s="94"/>
      <c r="AM104" s="99"/>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row>
    <row r="105" spans="1:74">
      <c r="A105" s="14"/>
      <c r="B105" s="94"/>
      <c r="C105" s="25"/>
      <c r="D105" s="94"/>
      <c r="E105" s="94"/>
      <c r="F105" s="94"/>
      <c r="G105" s="94"/>
      <c r="H105" s="94"/>
      <c r="I105" s="94"/>
      <c r="J105" s="94"/>
      <c r="K105" s="94"/>
      <c r="L105" s="94"/>
      <c r="M105" s="94"/>
      <c r="N105" s="94"/>
      <c r="O105" s="94"/>
      <c r="P105" s="94"/>
      <c r="Q105" s="94"/>
      <c r="R105" s="94"/>
      <c r="S105" s="14"/>
      <c r="T105" s="15"/>
      <c r="U105" s="15"/>
      <c r="V105" s="16"/>
      <c r="W105" s="94"/>
      <c r="X105" s="25"/>
      <c r="Y105" s="94"/>
      <c r="Z105" s="94"/>
      <c r="AA105" s="94"/>
      <c r="AB105" s="94"/>
      <c r="AC105" s="94"/>
      <c r="AD105" s="94"/>
      <c r="AE105" s="94"/>
      <c r="AF105" s="94"/>
      <c r="AG105" s="94"/>
      <c r="AH105" s="94"/>
      <c r="AI105" s="94"/>
      <c r="AJ105" s="94"/>
      <c r="AK105" s="94"/>
      <c r="AL105" s="94"/>
      <c r="AM105" s="99"/>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row>
    <row r="106" spans="1:74">
      <c r="A106" s="14"/>
      <c r="B106" s="94"/>
      <c r="C106" s="25"/>
      <c r="D106" s="94"/>
      <c r="E106" s="94"/>
      <c r="F106" s="94"/>
      <c r="G106" s="94"/>
      <c r="H106" s="94"/>
      <c r="I106" s="94"/>
      <c r="J106" s="94"/>
      <c r="K106" s="94"/>
      <c r="L106" s="94"/>
      <c r="M106" s="94"/>
      <c r="N106" s="94"/>
      <c r="O106" s="94"/>
      <c r="P106" s="94"/>
      <c r="Q106" s="94"/>
      <c r="R106" s="94"/>
      <c r="S106" s="14"/>
      <c r="T106" s="15"/>
      <c r="U106" s="15"/>
      <c r="V106" s="16"/>
      <c r="W106" s="94"/>
      <c r="X106" s="25"/>
      <c r="Y106" s="94"/>
      <c r="Z106" s="94"/>
      <c r="AA106" s="94"/>
      <c r="AB106" s="94"/>
      <c r="AC106" s="94"/>
      <c r="AD106" s="94"/>
      <c r="AE106" s="94"/>
      <c r="AF106" s="94"/>
      <c r="AG106" s="94"/>
      <c r="AH106" s="94"/>
      <c r="AI106" s="94"/>
      <c r="AJ106" s="94"/>
      <c r="AK106" s="94"/>
      <c r="AL106" s="94"/>
      <c r="AM106" s="99"/>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row>
    <row r="107" spans="1:74">
      <c r="A107" s="14"/>
      <c r="B107" s="94"/>
      <c r="C107" s="25"/>
      <c r="D107" s="94"/>
      <c r="E107" s="94"/>
      <c r="F107" s="94"/>
      <c r="G107" s="94"/>
      <c r="H107" s="94"/>
      <c r="I107" s="94"/>
      <c r="J107" s="94"/>
      <c r="K107" s="94"/>
      <c r="L107" s="94"/>
      <c r="M107" s="94"/>
      <c r="N107" s="94"/>
      <c r="O107" s="94"/>
      <c r="P107" s="94"/>
      <c r="Q107" s="94"/>
      <c r="R107" s="94"/>
      <c r="S107" s="14"/>
      <c r="T107" s="15"/>
      <c r="U107" s="15"/>
      <c r="V107" s="16"/>
      <c r="W107" s="94"/>
      <c r="X107" s="25"/>
      <c r="Y107" s="94"/>
      <c r="Z107" s="94"/>
      <c r="AA107" s="94"/>
      <c r="AB107" s="94"/>
      <c r="AC107" s="94"/>
      <c r="AD107" s="94"/>
      <c r="AE107" s="94"/>
      <c r="AF107" s="94"/>
      <c r="AG107" s="94"/>
      <c r="AH107" s="94"/>
      <c r="AI107" s="94"/>
      <c r="AJ107" s="94"/>
      <c r="AK107" s="94"/>
      <c r="AL107" s="94"/>
      <c r="AM107" s="99"/>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row>
    <row r="108" spans="1:74">
      <c r="A108" s="14"/>
      <c r="B108" s="94"/>
      <c r="C108" s="25"/>
      <c r="D108" s="94"/>
      <c r="E108" s="94"/>
      <c r="F108" s="94"/>
      <c r="G108" s="94"/>
      <c r="H108" s="94"/>
      <c r="I108" s="94"/>
      <c r="J108" s="94"/>
      <c r="K108" s="94"/>
      <c r="L108" s="94"/>
      <c r="M108" s="94"/>
      <c r="N108" s="94"/>
      <c r="O108" s="94"/>
      <c r="P108" s="94"/>
      <c r="Q108" s="94"/>
      <c r="R108" s="94"/>
      <c r="S108" s="14"/>
      <c r="T108" s="15"/>
      <c r="U108" s="15"/>
      <c r="V108" s="16"/>
      <c r="W108" s="94"/>
      <c r="X108" s="25"/>
      <c r="Y108" s="94"/>
      <c r="Z108" s="94"/>
      <c r="AA108" s="94"/>
      <c r="AB108" s="94"/>
      <c r="AC108" s="94"/>
      <c r="AD108" s="94"/>
      <c r="AE108" s="94"/>
      <c r="AF108" s="94"/>
      <c r="AG108" s="94"/>
      <c r="AH108" s="94"/>
      <c r="AI108" s="94"/>
      <c r="AJ108" s="94"/>
      <c r="AK108" s="94"/>
      <c r="AL108" s="94"/>
      <c r="AM108" s="99"/>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row>
    <row r="109" spans="1:74">
      <c r="A109" s="14"/>
      <c r="B109" s="94"/>
      <c r="C109" s="25"/>
      <c r="D109" s="94"/>
      <c r="E109" s="94"/>
      <c r="F109" s="94"/>
      <c r="G109" s="94"/>
      <c r="H109" s="94"/>
      <c r="I109" s="94"/>
      <c r="J109" s="94"/>
      <c r="K109" s="94"/>
      <c r="L109" s="94"/>
      <c r="M109" s="94"/>
      <c r="N109" s="94"/>
      <c r="O109" s="94"/>
      <c r="P109" s="94"/>
      <c r="Q109" s="94"/>
      <c r="R109" s="94"/>
      <c r="S109" s="14"/>
      <c r="T109" s="15"/>
      <c r="U109" s="15"/>
      <c r="V109" s="16"/>
      <c r="W109" s="94"/>
      <c r="X109" s="25"/>
      <c r="Y109" s="94"/>
      <c r="Z109" s="94"/>
      <c r="AA109" s="94"/>
      <c r="AB109" s="94"/>
      <c r="AC109" s="94"/>
      <c r="AD109" s="94"/>
      <c r="AE109" s="94"/>
      <c r="AF109" s="94"/>
      <c r="AG109" s="94"/>
      <c r="AH109" s="94"/>
      <c r="AI109" s="94"/>
      <c r="AJ109" s="94"/>
      <c r="AK109" s="94"/>
      <c r="AL109" s="94"/>
      <c r="AM109" s="99"/>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row>
    <row r="110" spans="1:74">
      <c r="A110" s="14"/>
      <c r="B110" s="94"/>
      <c r="C110" s="25"/>
      <c r="D110" s="94"/>
      <c r="E110" s="94"/>
      <c r="F110" s="94"/>
      <c r="G110" s="94"/>
      <c r="H110" s="94"/>
      <c r="I110" s="94"/>
      <c r="J110" s="94"/>
      <c r="K110" s="94"/>
      <c r="L110" s="94"/>
      <c r="M110" s="94"/>
      <c r="N110" s="94"/>
      <c r="O110" s="94"/>
      <c r="P110" s="94"/>
      <c r="Q110" s="94"/>
      <c r="R110" s="94"/>
      <c r="S110" s="14"/>
      <c r="T110" s="15"/>
      <c r="U110" s="15"/>
      <c r="V110" s="16"/>
      <c r="W110" s="94"/>
      <c r="X110" s="25"/>
      <c r="Y110" s="94"/>
      <c r="Z110" s="94"/>
      <c r="AA110" s="94"/>
      <c r="AB110" s="94"/>
      <c r="AC110" s="94"/>
      <c r="AD110" s="94"/>
      <c r="AE110" s="94"/>
      <c r="AF110" s="94"/>
      <c r="AG110" s="94"/>
      <c r="AH110" s="94"/>
      <c r="AI110" s="94"/>
      <c r="AJ110" s="94"/>
      <c r="AK110" s="94"/>
      <c r="AL110" s="94"/>
      <c r="AM110" s="99"/>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row>
    <row r="111" spans="1:74">
      <c r="A111" s="14"/>
      <c r="B111" s="94"/>
      <c r="C111" s="25"/>
      <c r="D111" s="94"/>
      <c r="E111" s="94"/>
      <c r="F111" s="94"/>
      <c r="G111" s="94"/>
      <c r="H111" s="94"/>
      <c r="I111" s="94"/>
      <c r="J111" s="94"/>
      <c r="K111" s="94"/>
      <c r="L111" s="94"/>
      <c r="M111" s="94"/>
      <c r="N111" s="94"/>
      <c r="O111" s="94"/>
      <c r="P111" s="94"/>
      <c r="Q111" s="94"/>
      <c r="R111" s="94"/>
      <c r="S111" s="14"/>
      <c r="T111" s="15"/>
      <c r="U111" s="15"/>
      <c r="V111" s="16"/>
      <c r="W111" s="94"/>
      <c r="X111" s="25"/>
      <c r="Y111" s="94"/>
      <c r="Z111" s="94"/>
      <c r="AA111" s="94"/>
      <c r="AB111" s="94"/>
      <c r="AC111" s="94"/>
      <c r="AD111" s="94"/>
      <c r="AE111" s="94"/>
      <c r="AF111" s="94"/>
      <c r="AG111" s="94"/>
      <c r="AH111" s="94"/>
      <c r="AI111" s="94"/>
      <c r="AJ111" s="94"/>
      <c r="AK111" s="94"/>
      <c r="AL111" s="94"/>
      <c r="AM111" s="99"/>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row>
    <row r="112" spans="1:74">
      <c r="A112" s="14"/>
      <c r="B112" s="94"/>
      <c r="C112" s="25"/>
      <c r="D112" s="94"/>
      <c r="E112" s="94"/>
      <c r="F112" s="94"/>
      <c r="G112" s="94"/>
      <c r="H112" s="94"/>
      <c r="I112" s="94"/>
      <c r="J112" s="94"/>
      <c r="K112" s="94"/>
      <c r="L112" s="94"/>
      <c r="M112" s="94"/>
      <c r="N112" s="94"/>
      <c r="O112" s="94"/>
      <c r="P112" s="94"/>
      <c r="Q112" s="94"/>
      <c r="R112" s="94"/>
      <c r="S112" s="14"/>
      <c r="T112" s="15"/>
      <c r="U112" s="15"/>
      <c r="V112" s="16"/>
      <c r="W112" s="94"/>
      <c r="X112" s="25"/>
      <c r="Y112" s="94"/>
      <c r="Z112" s="94"/>
      <c r="AA112" s="94"/>
      <c r="AB112" s="94"/>
      <c r="AC112" s="94"/>
      <c r="AD112" s="94"/>
      <c r="AE112" s="94"/>
      <c r="AF112" s="94"/>
      <c r="AG112" s="94"/>
      <c r="AH112" s="94"/>
      <c r="AI112" s="94"/>
      <c r="AJ112" s="94"/>
      <c r="AK112" s="94"/>
      <c r="AL112" s="94"/>
      <c r="AM112" s="99"/>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row>
    <row r="113" spans="1:74">
      <c r="A113" s="14"/>
      <c r="B113" s="94"/>
      <c r="C113" s="25"/>
      <c r="D113" s="94"/>
      <c r="E113" s="94"/>
      <c r="F113" s="94"/>
      <c r="G113" s="94"/>
      <c r="H113" s="94"/>
      <c r="I113" s="94"/>
      <c r="J113" s="94"/>
      <c r="K113" s="94"/>
      <c r="L113" s="94"/>
      <c r="M113" s="94"/>
      <c r="N113" s="94"/>
      <c r="O113" s="94"/>
      <c r="P113" s="94"/>
      <c r="Q113" s="94"/>
      <c r="R113" s="94"/>
      <c r="S113" s="14"/>
      <c r="T113" s="15"/>
      <c r="U113" s="15"/>
      <c r="V113" s="16"/>
      <c r="W113" s="94"/>
      <c r="X113" s="25"/>
      <c r="Y113" s="94"/>
      <c r="Z113" s="94"/>
      <c r="AA113" s="94"/>
      <c r="AB113" s="94"/>
      <c r="AC113" s="94"/>
      <c r="AD113" s="94"/>
      <c r="AE113" s="94"/>
      <c r="AF113" s="94"/>
      <c r="AG113" s="94"/>
      <c r="AH113" s="94"/>
      <c r="AI113" s="94"/>
      <c r="AJ113" s="94"/>
      <c r="AK113" s="94"/>
      <c r="AL113" s="94"/>
      <c r="AM113" s="99"/>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row>
    <row r="114" spans="1:74">
      <c r="A114" s="14"/>
      <c r="B114" s="94"/>
      <c r="C114" s="25"/>
      <c r="D114" s="94"/>
      <c r="E114" s="94"/>
      <c r="F114" s="94"/>
      <c r="G114" s="94"/>
      <c r="H114" s="94"/>
      <c r="I114" s="94"/>
      <c r="J114" s="94"/>
      <c r="K114" s="94"/>
      <c r="L114" s="94"/>
      <c r="M114" s="94"/>
      <c r="N114" s="94"/>
      <c r="O114" s="94"/>
      <c r="P114" s="94"/>
      <c r="Q114" s="94"/>
      <c r="R114" s="94"/>
      <c r="S114" s="14"/>
      <c r="T114" s="15"/>
      <c r="U114" s="15"/>
      <c r="V114" s="16"/>
      <c r="W114" s="94"/>
      <c r="X114" s="25"/>
      <c r="Y114" s="94"/>
      <c r="Z114" s="94"/>
      <c r="AA114" s="94"/>
      <c r="AB114" s="94"/>
      <c r="AC114" s="94"/>
      <c r="AD114" s="94"/>
      <c r="AE114" s="94"/>
      <c r="AF114" s="94"/>
      <c r="AG114" s="94"/>
      <c r="AH114" s="94"/>
      <c r="AI114" s="94"/>
      <c r="AJ114" s="94"/>
      <c r="AK114" s="94"/>
      <c r="AL114" s="94"/>
      <c r="AM114" s="99"/>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row>
    <row r="115" spans="1:74">
      <c r="A115" s="14"/>
      <c r="B115" s="94"/>
      <c r="C115" s="25"/>
      <c r="D115" s="94"/>
      <c r="E115" s="94"/>
      <c r="F115" s="94"/>
      <c r="G115" s="94"/>
      <c r="H115" s="94"/>
      <c r="I115" s="94"/>
      <c r="J115" s="94"/>
      <c r="K115" s="94"/>
      <c r="L115" s="94"/>
      <c r="M115" s="94"/>
      <c r="N115" s="94"/>
      <c r="O115" s="94"/>
      <c r="P115" s="94"/>
      <c r="Q115" s="94"/>
      <c r="R115" s="94"/>
      <c r="S115" s="14"/>
      <c r="T115" s="15"/>
      <c r="U115" s="15"/>
      <c r="V115" s="16"/>
      <c r="W115" s="94"/>
      <c r="X115" s="25"/>
      <c r="Y115" s="94"/>
      <c r="Z115" s="94"/>
      <c r="AA115" s="94"/>
      <c r="AB115" s="94"/>
      <c r="AC115" s="94"/>
      <c r="AD115" s="94"/>
      <c r="AE115" s="94"/>
      <c r="AF115" s="94"/>
      <c r="AG115" s="94"/>
      <c r="AH115" s="94"/>
      <c r="AI115" s="94"/>
      <c r="AJ115" s="94"/>
      <c r="AK115" s="94"/>
      <c r="AL115" s="94"/>
      <c r="AM115" s="99"/>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row>
    <row r="116" spans="1:74">
      <c r="A116" s="14"/>
      <c r="B116" s="94"/>
      <c r="C116" s="25"/>
      <c r="D116" s="94"/>
      <c r="E116" s="94"/>
      <c r="F116" s="94"/>
      <c r="G116" s="94"/>
      <c r="H116" s="94"/>
      <c r="I116" s="94"/>
      <c r="J116" s="94"/>
      <c r="K116" s="94"/>
      <c r="L116" s="94"/>
      <c r="M116" s="94"/>
      <c r="N116" s="94"/>
      <c r="O116" s="94"/>
      <c r="P116" s="94"/>
      <c r="Q116" s="94"/>
      <c r="R116" s="94"/>
      <c r="S116" s="14"/>
      <c r="T116" s="15"/>
      <c r="U116" s="15"/>
      <c r="V116" s="16"/>
      <c r="W116" s="94"/>
      <c r="X116" s="25"/>
      <c r="Y116" s="94"/>
      <c r="Z116" s="94"/>
      <c r="AA116" s="94"/>
      <c r="AB116" s="94"/>
      <c r="AC116" s="94"/>
      <c r="AD116" s="94"/>
      <c r="AE116" s="94"/>
      <c r="AF116" s="94"/>
      <c r="AG116" s="94"/>
      <c r="AH116" s="94"/>
      <c r="AI116" s="94"/>
      <c r="AJ116" s="94"/>
      <c r="AK116" s="94"/>
      <c r="AL116" s="94"/>
      <c r="AM116" s="99"/>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row>
    <row r="117" spans="1:74">
      <c r="A117" s="14"/>
      <c r="B117" s="94"/>
      <c r="C117" s="25"/>
      <c r="D117" s="94"/>
      <c r="E117" s="94"/>
      <c r="F117" s="94"/>
      <c r="G117" s="94"/>
      <c r="H117" s="94"/>
      <c r="I117" s="94"/>
      <c r="J117" s="94"/>
      <c r="K117" s="94"/>
      <c r="L117" s="94"/>
      <c r="M117" s="94"/>
      <c r="N117" s="94"/>
      <c r="O117" s="94"/>
      <c r="P117" s="94"/>
      <c r="Q117" s="94"/>
      <c r="R117" s="94"/>
      <c r="S117" s="14"/>
      <c r="T117" s="15"/>
      <c r="U117" s="15"/>
      <c r="V117" s="16"/>
      <c r="W117" s="94"/>
      <c r="X117" s="25"/>
      <c r="Y117" s="94"/>
      <c r="Z117" s="94"/>
      <c r="AA117" s="94"/>
      <c r="AB117" s="94"/>
      <c r="AC117" s="94"/>
      <c r="AD117" s="94"/>
      <c r="AE117" s="94"/>
      <c r="AF117" s="94"/>
      <c r="AG117" s="94"/>
      <c r="AH117" s="94"/>
      <c r="AI117" s="94"/>
      <c r="AJ117" s="94"/>
      <c r="AK117" s="94"/>
      <c r="AL117" s="94"/>
      <c r="AM117" s="99"/>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row>
    <row r="118" spans="1:74">
      <c r="A118" s="14"/>
      <c r="B118" s="94"/>
      <c r="C118" s="25"/>
      <c r="D118" s="94"/>
      <c r="E118" s="94"/>
      <c r="F118" s="94"/>
      <c r="G118" s="94"/>
      <c r="H118" s="94"/>
      <c r="I118" s="94"/>
      <c r="J118" s="94"/>
      <c r="K118" s="94"/>
      <c r="L118" s="94"/>
      <c r="M118" s="94"/>
      <c r="N118" s="94"/>
      <c r="O118" s="94"/>
      <c r="P118" s="94"/>
      <c r="Q118" s="94"/>
      <c r="R118" s="94"/>
      <c r="S118" s="14"/>
      <c r="T118" s="15"/>
      <c r="U118" s="15"/>
      <c r="V118" s="16"/>
      <c r="W118" s="94"/>
      <c r="X118" s="25"/>
      <c r="Y118" s="94"/>
      <c r="Z118" s="94"/>
      <c r="AA118" s="94"/>
      <c r="AB118" s="94"/>
      <c r="AC118" s="94"/>
      <c r="AD118" s="94"/>
      <c r="AE118" s="94"/>
      <c r="AF118" s="94"/>
      <c r="AG118" s="94"/>
      <c r="AH118" s="94"/>
      <c r="AI118" s="94"/>
      <c r="AJ118" s="94"/>
      <c r="AK118" s="94"/>
      <c r="AL118" s="94"/>
      <c r="AM118" s="99"/>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row>
    <row r="119" spans="1:74">
      <c r="A119" s="14"/>
      <c r="B119" s="94"/>
      <c r="C119" s="25"/>
      <c r="D119" s="94"/>
      <c r="E119" s="94"/>
      <c r="F119" s="94"/>
      <c r="G119" s="94"/>
      <c r="H119" s="94"/>
      <c r="I119" s="94"/>
      <c r="J119" s="94"/>
      <c r="K119" s="94"/>
      <c r="L119" s="94"/>
      <c r="M119" s="94"/>
      <c r="N119" s="94"/>
      <c r="O119" s="94"/>
      <c r="P119" s="94"/>
      <c r="Q119" s="94"/>
      <c r="R119" s="94"/>
      <c r="S119" s="14"/>
      <c r="T119" s="15"/>
      <c r="U119" s="15"/>
      <c r="V119" s="16"/>
      <c r="W119" s="94"/>
      <c r="X119" s="25"/>
      <c r="Y119" s="94"/>
      <c r="Z119" s="94"/>
      <c r="AA119" s="94"/>
      <c r="AB119" s="94"/>
      <c r="AC119" s="94"/>
      <c r="AD119" s="94"/>
      <c r="AE119" s="94"/>
      <c r="AF119" s="94"/>
      <c r="AG119" s="94"/>
      <c r="AH119" s="94"/>
      <c r="AI119" s="94"/>
      <c r="AJ119" s="94"/>
      <c r="AK119" s="94"/>
      <c r="AL119" s="94"/>
      <c r="AM119" s="99"/>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row>
    <row r="120" spans="1:74">
      <c r="A120" s="14"/>
      <c r="B120" s="94"/>
      <c r="C120" s="25"/>
      <c r="D120" s="94"/>
      <c r="E120" s="94"/>
      <c r="F120" s="94"/>
      <c r="G120" s="94"/>
      <c r="H120" s="94"/>
      <c r="I120" s="94"/>
      <c r="J120" s="94"/>
      <c r="K120" s="94"/>
      <c r="L120" s="94"/>
      <c r="M120" s="94"/>
      <c r="N120" s="94"/>
      <c r="O120" s="94"/>
      <c r="P120" s="94"/>
      <c r="Q120" s="94"/>
      <c r="R120" s="94"/>
      <c r="S120" s="14"/>
      <c r="T120" s="15"/>
      <c r="U120" s="15"/>
      <c r="V120" s="16"/>
      <c r="W120" s="94"/>
      <c r="X120" s="25"/>
      <c r="Y120" s="94"/>
      <c r="Z120" s="94"/>
      <c r="AA120" s="94"/>
      <c r="AB120" s="94"/>
      <c r="AC120" s="94"/>
      <c r="AD120" s="94"/>
      <c r="AE120" s="94"/>
      <c r="AF120" s="94"/>
      <c r="AG120" s="94"/>
      <c r="AH120" s="94"/>
      <c r="AI120" s="94"/>
      <c r="AJ120" s="94"/>
      <c r="AK120" s="94"/>
      <c r="AL120" s="94"/>
      <c r="AM120" s="99"/>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row>
    <row r="121" spans="1:74">
      <c r="A121" s="14"/>
      <c r="B121" s="94"/>
      <c r="C121" s="25"/>
      <c r="D121" s="94"/>
      <c r="E121" s="94"/>
      <c r="F121" s="94"/>
      <c r="G121" s="94"/>
      <c r="H121" s="94"/>
      <c r="I121" s="94"/>
      <c r="J121" s="94"/>
      <c r="K121" s="94"/>
      <c r="L121" s="94"/>
      <c r="M121" s="94"/>
      <c r="N121" s="94"/>
      <c r="O121" s="94"/>
      <c r="P121" s="94"/>
      <c r="Q121" s="94"/>
      <c r="R121" s="94"/>
      <c r="S121" s="14"/>
      <c r="T121" s="15"/>
      <c r="U121" s="15"/>
      <c r="V121" s="16"/>
      <c r="W121" s="94"/>
      <c r="X121" s="25"/>
      <c r="Y121" s="94"/>
      <c r="Z121" s="94"/>
      <c r="AA121" s="94"/>
      <c r="AB121" s="94"/>
      <c r="AC121" s="94"/>
      <c r="AD121" s="94"/>
      <c r="AE121" s="94"/>
      <c r="AF121" s="94"/>
      <c r="AG121" s="94"/>
      <c r="AH121" s="94"/>
      <c r="AI121" s="94"/>
      <c r="AJ121" s="94"/>
      <c r="AK121" s="94"/>
      <c r="AL121" s="94"/>
      <c r="AM121" s="99"/>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row>
    <row r="122" spans="1:74">
      <c r="A122" s="14"/>
      <c r="B122" s="94"/>
      <c r="C122" s="25"/>
      <c r="D122" s="94"/>
      <c r="E122" s="94"/>
      <c r="F122" s="94"/>
      <c r="G122" s="94"/>
      <c r="H122" s="94"/>
      <c r="I122" s="94"/>
      <c r="J122" s="94"/>
      <c r="K122" s="94"/>
      <c r="L122" s="94"/>
      <c r="M122" s="94"/>
      <c r="N122" s="94"/>
      <c r="O122" s="94"/>
      <c r="P122" s="94"/>
      <c r="Q122" s="94"/>
      <c r="R122" s="94"/>
      <c r="S122" s="14"/>
      <c r="T122" s="15"/>
      <c r="U122" s="15"/>
      <c r="V122" s="16"/>
      <c r="W122" s="94"/>
      <c r="X122" s="25"/>
      <c r="Y122" s="94"/>
      <c r="Z122" s="94"/>
      <c r="AA122" s="94"/>
      <c r="AB122" s="94"/>
      <c r="AC122" s="94"/>
      <c r="AD122" s="94"/>
      <c r="AE122" s="94"/>
      <c r="AF122" s="94"/>
      <c r="AG122" s="94"/>
      <c r="AH122" s="94"/>
      <c r="AI122" s="94"/>
      <c r="AJ122" s="94"/>
      <c r="AK122" s="94"/>
      <c r="AL122" s="94"/>
      <c r="AM122" s="99"/>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row>
    <row r="123" spans="1:74">
      <c r="A123" s="14"/>
      <c r="B123" s="94"/>
      <c r="C123" s="25"/>
      <c r="D123" s="94"/>
      <c r="E123" s="94"/>
      <c r="F123" s="94"/>
      <c r="G123" s="94"/>
      <c r="H123" s="94"/>
      <c r="I123" s="94"/>
      <c r="J123" s="94"/>
      <c r="K123" s="94"/>
      <c r="L123" s="94"/>
      <c r="M123" s="94"/>
      <c r="N123" s="94"/>
      <c r="O123" s="94"/>
      <c r="P123" s="94"/>
      <c r="Q123" s="94"/>
      <c r="R123" s="94"/>
      <c r="S123" s="14"/>
      <c r="T123" s="15"/>
      <c r="U123" s="15"/>
      <c r="V123" s="16"/>
      <c r="W123" s="94"/>
      <c r="X123" s="25"/>
      <c r="Y123" s="94"/>
      <c r="Z123" s="94"/>
      <c r="AA123" s="94"/>
      <c r="AB123" s="94"/>
      <c r="AC123" s="94"/>
      <c r="AD123" s="94"/>
      <c r="AE123" s="94"/>
      <c r="AF123" s="94"/>
      <c r="AG123" s="94"/>
      <c r="AH123" s="94"/>
      <c r="AI123" s="94"/>
      <c r="AJ123" s="94"/>
      <c r="AK123" s="94"/>
      <c r="AL123" s="94"/>
      <c r="AM123" s="99"/>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row>
    <row r="124" spans="1:74">
      <c r="A124" s="14"/>
      <c r="B124" s="94"/>
      <c r="C124" s="25"/>
      <c r="D124" s="94"/>
      <c r="E124" s="94"/>
      <c r="F124" s="94"/>
      <c r="G124" s="94"/>
      <c r="H124" s="94"/>
      <c r="I124" s="94"/>
      <c r="J124" s="94"/>
      <c r="K124" s="94"/>
      <c r="L124" s="94"/>
      <c r="M124" s="94"/>
      <c r="N124" s="94"/>
      <c r="O124" s="94"/>
      <c r="P124" s="94"/>
      <c r="Q124" s="94"/>
      <c r="R124" s="94"/>
      <c r="S124" s="14"/>
      <c r="T124" s="15"/>
      <c r="U124" s="15"/>
      <c r="V124" s="16"/>
      <c r="W124" s="94"/>
      <c r="X124" s="25"/>
      <c r="Y124" s="94"/>
      <c r="Z124" s="94"/>
      <c r="AA124" s="94"/>
      <c r="AB124" s="94"/>
      <c r="AC124" s="94"/>
      <c r="AD124" s="94"/>
      <c r="AE124" s="94"/>
      <c r="AF124" s="94"/>
      <c r="AG124" s="94"/>
      <c r="AH124" s="94"/>
      <c r="AI124" s="94"/>
      <c r="AJ124" s="94"/>
      <c r="AK124" s="94"/>
      <c r="AL124" s="94"/>
      <c r="AM124" s="99"/>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row>
    <row r="125" spans="1:74">
      <c r="A125" s="14"/>
      <c r="B125" s="94"/>
      <c r="C125" s="25"/>
      <c r="D125" s="94"/>
      <c r="E125" s="94"/>
      <c r="F125" s="94"/>
      <c r="G125" s="94"/>
      <c r="H125" s="94"/>
      <c r="I125" s="94"/>
      <c r="J125" s="94"/>
      <c r="K125" s="94"/>
      <c r="L125" s="94"/>
      <c r="M125" s="94"/>
      <c r="N125" s="94"/>
      <c r="O125" s="94"/>
      <c r="P125" s="94"/>
      <c r="Q125" s="94"/>
      <c r="R125" s="94"/>
      <c r="S125" s="14"/>
      <c r="T125" s="15"/>
      <c r="U125" s="15"/>
      <c r="V125" s="16"/>
      <c r="W125" s="94"/>
      <c r="X125" s="25"/>
      <c r="Y125" s="94"/>
      <c r="Z125" s="94"/>
      <c r="AA125" s="94"/>
      <c r="AB125" s="94"/>
      <c r="AC125" s="94"/>
      <c r="AD125" s="94"/>
      <c r="AE125" s="94"/>
      <c r="AF125" s="94"/>
      <c r="AG125" s="94"/>
      <c r="AH125" s="94"/>
      <c r="AI125" s="94"/>
      <c r="AJ125" s="94"/>
      <c r="AK125" s="94"/>
      <c r="AL125" s="94"/>
      <c r="AM125" s="99"/>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row>
    <row r="126" spans="1:74">
      <c r="A126" s="14"/>
      <c r="B126" s="94"/>
      <c r="C126" s="25"/>
      <c r="D126" s="94"/>
      <c r="E126" s="94"/>
      <c r="F126" s="94"/>
      <c r="G126" s="94"/>
      <c r="H126" s="94"/>
      <c r="I126" s="94"/>
      <c r="J126" s="94"/>
      <c r="K126" s="94"/>
      <c r="L126" s="94"/>
      <c r="M126" s="94"/>
      <c r="N126" s="94"/>
      <c r="O126" s="94"/>
      <c r="P126" s="94"/>
      <c r="Q126" s="94"/>
      <c r="R126" s="94"/>
      <c r="S126" s="14"/>
      <c r="T126" s="15"/>
      <c r="U126" s="15"/>
      <c r="V126" s="16"/>
      <c r="W126" s="94"/>
      <c r="X126" s="25"/>
      <c r="Y126" s="94"/>
      <c r="Z126" s="94"/>
      <c r="AA126" s="94"/>
      <c r="AB126" s="94"/>
      <c r="AC126" s="94"/>
      <c r="AD126" s="94"/>
      <c r="AE126" s="94"/>
      <c r="AF126" s="94"/>
      <c r="AG126" s="94"/>
      <c r="AH126" s="94"/>
      <c r="AI126" s="94"/>
      <c r="AJ126" s="94"/>
      <c r="AK126" s="94"/>
      <c r="AL126" s="94"/>
      <c r="AM126" s="99"/>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row>
    <row r="127" spans="1:74">
      <c r="A127" s="14"/>
      <c r="B127" s="94"/>
      <c r="C127" s="25"/>
      <c r="D127" s="94"/>
      <c r="E127" s="94"/>
      <c r="F127" s="94"/>
      <c r="G127" s="94"/>
      <c r="H127" s="94"/>
      <c r="I127" s="94"/>
      <c r="J127" s="94"/>
      <c r="K127" s="94"/>
      <c r="L127" s="94"/>
      <c r="M127" s="94"/>
      <c r="N127" s="94"/>
      <c r="O127" s="94"/>
      <c r="P127" s="94"/>
      <c r="Q127" s="94"/>
      <c r="R127" s="94"/>
      <c r="S127" s="14"/>
      <c r="T127" s="15"/>
      <c r="U127" s="15"/>
      <c r="V127" s="16"/>
      <c r="W127" s="94"/>
      <c r="X127" s="25"/>
      <c r="Y127" s="94"/>
      <c r="Z127" s="94"/>
      <c r="AA127" s="94"/>
      <c r="AB127" s="94"/>
      <c r="AC127" s="94"/>
      <c r="AD127" s="94"/>
      <c r="AE127" s="94"/>
      <c r="AF127" s="94"/>
      <c r="AG127" s="94"/>
      <c r="AH127" s="94"/>
      <c r="AI127" s="94"/>
      <c r="AJ127" s="94"/>
      <c r="AK127" s="94"/>
      <c r="AL127" s="94"/>
      <c r="AM127" s="99"/>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row>
    <row r="128" spans="1:74">
      <c r="A128" s="14"/>
      <c r="B128" s="94"/>
      <c r="C128" s="25"/>
      <c r="D128" s="94"/>
      <c r="E128" s="94"/>
      <c r="F128" s="94"/>
      <c r="G128" s="94"/>
      <c r="H128" s="94"/>
      <c r="I128" s="94"/>
      <c r="J128" s="94"/>
      <c r="K128" s="94"/>
      <c r="L128" s="94"/>
      <c r="M128" s="94"/>
      <c r="N128" s="94"/>
      <c r="O128" s="94"/>
      <c r="P128" s="94"/>
      <c r="Q128" s="94"/>
      <c r="R128" s="94"/>
      <c r="S128" s="14"/>
      <c r="T128" s="15"/>
      <c r="U128" s="15"/>
      <c r="V128" s="16"/>
      <c r="W128" s="94"/>
      <c r="X128" s="25"/>
      <c r="Y128" s="94"/>
      <c r="Z128" s="94"/>
      <c r="AA128" s="94"/>
      <c r="AB128" s="94"/>
      <c r="AC128" s="94"/>
      <c r="AD128" s="94"/>
      <c r="AE128" s="94"/>
      <c r="AF128" s="94"/>
      <c r="AG128" s="94"/>
      <c r="AH128" s="94"/>
      <c r="AI128" s="94"/>
      <c r="AJ128" s="94"/>
      <c r="AK128" s="94"/>
      <c r="AL128" s="94"/>
      <c r="AM128" s="99"/>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row>
    <row r="129" spans="1:74">
      <c r="A129" s="14"/>
      <c r="B129" s="94"/>
      <c r="C129" s="25"/>
      <c r="D129" s="94"/>
      <c r="E129" s="94"/>
      <c r="F129" s="94"/>
      <c r="G129" s="94"/>
      <c r="H129" s="94"/>
      <c r="I129" s="94"/>
      <c r="J129" s="94"/>
      <c r="K129" s="94"/>
      <c r="L129" s="94"/>
      <c r="M129" s="94"/>
      <c r="N129" s="94"/>
      <c r="O129" s="94"/>
      <c r="P129" s="94"/>
      <c r="Q129" s="94"/>
      <c r="R129" s="94"/>
      <c r="S129" s="14"/>
      <c r="T129" s="15"/>
      <c r="U129" s="15"/>
      <c r="V129" s="16"/>
      <c r="W129" s="94"/>
      <c r="X129" s="25"/>
      <c r="Y129" s="94"/>
      <c r="Z129" s="94"/>
      <c r="AA129" s="94"/>
      <c r="AB129" s="94"/>
      <c r="AC129" s="94"/>
      <c r="AD129" s="94"/>
      <c r="AE129" s="94"/>
      <c r="AF129" s="94"/>
      <c r="AG129" s="94"/>
      <c r="AH129" s="94"/>
      <c r="AI129" s="94"/>
      <c r="AJ129" s="94"/>
      <c r="AK129" s="94"/>
      <c r="AL129" s="94"/>
      <c r="AM129" s="99"/>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row>
    <row r="130" spans="1:74">
      <c r="A130" s="14"/>
      <c r="B130" s="94"/>
      <c r="C130" s="25"/>
      <c r="D130" s="94"/>
      <c r="E130" s="94"/>
      <c r="F130" s="94"/>
      <c r="G130" s="94"/>
      <c r="H130" s="94"/>
      <c r="I130" s="94"/>
      <c r="J130" s="94"/>
      <c r="K130" s="94"/>
      <c r="L130" s="94"/>
      <c r="M130" s="94"/>
      <c r="N130" s="94"/>
      <c r="O130" s="94"/>
      <c r="P130" s="94"/>
      <c r="Q130" s="94"/>
      <c r="R130" s="94"/>
      <c r="S130" s="14"/>
      <c r="T130" s="15"/>
      <c r="U130" s="15"/>
      <c r="V130" s="16"/>
      <c r="W130" s="94"/>
      <c r="X130" s="25"/>
      <c r="Y130" s="94"/>
      <c r="Z130" s="94"/>
      <c r="AA130" s="94"/>
      <c r="AB130" s="94"/>
      <c r="AC130" s="94"/>
      <c r="AD130" s="94"/>
      <c r="AE130" s="94"/>
      <c r="AF130" s="94"/>
      <c r="AG130" s="94"/>
      <c r="AH130" s="94"/>
      <c r="AI130" s="94"/>
      <c r="AJ130" s="94"/>
      <c r="AK130" s="94"/>
      <c r="AL130" s="94"/>
      <c r="AM130" s="99"/>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row>
    <row r="131" spans="1:74">
      <c r="A131" s="14"/>
      <c r="B131" s="94"/>
      <c r="C131" s="25"/>
      <c r="D131" s="94"/>
      <c r="E131" s="94"/>
      <c r="F131" s="94"/>
      <c r="G131" s="94"/>
      <c r="H131" s="94"/>
      <c r="I131" s="94"/>
      <c r="J131" s="94"/>
      <c r="K131" s="94"/>
      <c r="L131" s="94"/>
      <c r="M131" s="94"/>
      <c r="N131" s="94"/>
      <c r="O131" s="94"/>
      <c r="P131" s="94"/>
      <c r="Q131" s="94"/>
      <c r="R131" s="94"/>
      <c r="S131" s="14"/>
      <c r="T131" s="15"/>
      <c r="U131" s="15"/>
      <c r="V131" s="16"/>
      <c r="W131" s="94"/>
      <c r="X131" s="25"/>
      <c r="Y131" s="94"/>
      <c r="Z131" s="94"/>
      <c r="AA131" s="94"/>
      <c r="AB131" s="94"/>
      <c r="AC131" s="94"/>
      <c r="AD131" s="94"/>
      <c r="AE131" s="94"/>
      <c r="AF131" s="94"/>
      <c r="AG131" s="94"/>
      <c r="AH131" s="94"/>
      <c r="AI131" s="94"/>
      <c r="AJ131" s="94"/>
      <c r="AK131" s="94"/>
      <c r="AL131" s="94"/>
      <c r="AM131" s="99"/>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row>
    <row r="132" spans="1:74">
      <c r="A132" s="14"/>
      <c r="B132" s="94"/>
      <c r="C132" s="25"/>
      <c r="D132" s="94"/>
      <c r="E132" s="94"/>
      <c r="F132" s="94"/>
      <c r="G132" s="94"/>
      <c r="H132" s="94"/>
      <c r="I132" s="94"/>
      <c r="J132" s="94"/>
      <c r="K132" s="94"/>
      <c r="L132" s="94"/>
      <c r="M132" s="94"/>
      <c r="N132" s="94"/>
      <c r="O132" s="94"/>
      <c r="P132" s="94"/>
      <c r="Q132" s="94"/>
      <c r="R132" s="94"/>
      <c r="S132" s="14"/>
      <c r="T132" s="15"/>
      <c r="U132" s="15"/>
      <c r="V132" s="16"/>
      <c r="W132" s="94"/>
      <c r="X132" s="25"/>
      <c r="Y132" s="94"/>
      <c r="Z132" s="94"/>
      <c r="AA132" s="94"/>
      <c r="AB132" s="94"/>
      <c r="AC132" s="94"/>
      <c r="AD132" s="94"/>
      <c r="AE132" s="94"/>
      <c r="AF132" s="94"/>
      <c r="AG132" s="94"/>
      <c r="AH132" s="94"/>
      <c r="AI132" s="94"/>
      <c r="AJ132" s="94"/>
      <c r="AK132" s="94"/>
      <c r="AL132" s="94"/>
      <c r="AM132" s="99"/>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row>
    <row r="133" spans="1:74">
      <c r="A133" s="14"/>
      <c r="B133" s="94"/>
      <c r="C133" s="25"/>
      <c r="D133" s="94"/>
      <c r="E133" s="94"/>
      <c r="F133" s="94"/>
      <c r="G133" s="94"/>
      <c r="H133" s="94"/>
      <c r="I133" s="94"/>
      <c r="J133" s="94"/>
      <c r="K133" s="94"/>
      <c r="L133" s="94"/>
      <c r="M133" s="94"/>
      <c r="N133" s="94"/>
      <c r="O133" s="94"/>
      <c r="P133" s="94"/>
      <c r="Q133" s="94"/>
      <c r="R133" s="94"/>
      <c r="S133" s="14"/>
      <c r="T133" s="15"/>
      <c r="U133" s="15"/>
      <c r="V133" s="16"/>
      <c r="W133" s="94"/>
      <c r="X133" s="25"/>
      <c r="Y133" s="94"/>
      <c r="Z133" s="94"/>
      <c r="AA133" s="94"/>
      <c r="AB133" s="94"/>
      <c r="AC133" s="94"/>
      <c r="AD133" s="94"/>
      <c r="AE133" s="94"/>
      <c r="AF133" s="94"/>
      <c r="AG133" s="94"/>
      <c r="AH133" s="94"/>
      <c r="AI133" s="94"/>
      <c r="AJ133" s="94"/>
      <c r="AK133" s="94"/>
      <c r="AL133" s="94"/>
      <c r="AM133" s="99"/>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row>
    <row r="134" spans="1:74">
      <c r="A134" s="14"/>
      <c r="B134" s="94"/>
      <c r="C134" s="25"/>
      <c r="D134" s="94"/>
      <c r="E134" s="94"/>
      <c r="F134" s="94"/>
      <c r="G134" s="94"/>
      <c r="H134" s="94"/>
      <c r="I134" s="94"/>
      <c r="J134" s="94"/>
      <c r="K134" s="94"/>
      <c r="L134" s="94"/>
      <c r="M134" s="94"/>
      <c r="N134" s="94"/>
      <c r="O134" s="94"/>
      <c r="P134" s="94"/>
      <c r="Q134" s="94"/>
      <c r="R134" s="94"/>
      <c r="S134" s="14"/>
      <c r="T134" s="15"/>
      <c r="U134" s="15"/>
      <c r="V134" s="16"/>
      <c r="W134" s="94"/>
      <c r="X134" s="25"/>
      <c r="Y134" s="94"/>
      <c r="Z134" s="94"/>
      <c r="AA134" s="94"/>
      <c r="AB134" s="94"/>
      <c r="AC134" s="94"/>
      <c r="AD134" s="94"/>
      <c r="AE134" s="94"/>
      <c r="AF134" s="94"/>
      <c r="AG134" s="94"/>
      <c r="AH134" s="94"/>
      <c r="AI134" s="94"/>
      <c r="AJ134" s="94"/>
      <c r="AK134" s="94"/>
      <c r="AL134" s="94"/>
      <c r="AM134" s="99"/>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row>
    <row r="135" spans="1:74">
      <c r="A135" s="14"/>
      <c r="B135" s="94"/>
      <c r="C135" s="25"/>
      <c r="D135" s="94"/>
      <c r="E135" s="94"/>
      <c r="F135" s="94"/>
      <c r="G135" s="94"/>
      <c r="H135" s="94"/>
      <c r="I135" s="94"/>
      <c r="J135" s="94"/>
      <c r="K135" s="94"/>
      <c r="L135" s="94"/>
      <c r="M135" s="94"/>
      <c r="N135" s="94"/>
      <c r="O135" s="94"/>
      <c r="P135" s="94"/>
      <c r="Q135" s="94"/>
      <c r="R135" s="94"/>
      <c r="S135" s="14"/>
      <c r="T135" s="15"/>
      <c r="U135" s="15"/>
      <c r="V135" s="16"/>
      <c r="W135" s="94"/>
      <c r="X135" s="25"/>
      <c r="Y135" s="94"/>
      <c r="Z135" s="94"/>
      <c r="AA135" s="94"/>
      <c r="AB135" s="94"/>
      <c r="AC135" s="94"/>
      <c r="AD135" s="94"/>
      <c r="AE135" s="94"/>
      <c r="AF135" s="94"/>
      <c r="AG135" s="94"/>
      <c r="AH135" s="94"/>
      <c r="AI135" s="94"/>
      <c r="AJ135" s="94"/>
      <c r="AK135" s="94"/>
      <c r="AL135" s="94"/>
      <c r="AM135" s="99"/>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row>
    <row r="136" spans="1:74">
      <c r="A136" s="14"/>
      <c r="B136" s="94"/>
      <c r="C136" s="25"/>
      <c r="D136" s="94"/>
      <c r="E136" s="94"/>
      <c r="F136" s="94"/>
      <c r="G136" s="94"/>
      <c r="H136" s="94"/>
      <c r="I136" s="94"/>
      <c r="J136" s="94"/>
      <c r="K136" s="94"/>
      <c r="L136" s="94"/>
      <c r="M136" s="94"/>
      <c r="N136" s="94"/>
      <c r="O136" s="94"/>
      <c r="P136" s="94"/>
      <c r="Q136" s="94"/>
      <c r="R136" s="94"/>
      <c r="S136" s="14"/>
      <c r="T136" s="15"/>
      <c r="U136" s="15"/>
      <c r="V136" s="16"/>
      <c r="W136" s="94"/>
      <c r="X136" s="25"/>
      <c r="Y136" s="94"/>
      <c r="Z136" s="94"/>
      <c r="AA136" s="94"/>
      <c r="AB136" s="94"/>
      <c r="AC136" s="94"/>
      <c r="AD136" s="94"/>
      <c r="AE136" s="94"/>
      <c r="AF136" s="94"/>
      <c r="AG136" s="94"/>
      <c r="AH136" s="94"/>
      <c r="AI136" s="94"/>
      <c r="AJ136" s="94"/>
      <c r="AK136" s="94"/>
      <c r="AL136" s="94"/>
      <c r="AM136" s="99"/>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row>
    <row r="137" spans="1:74">
      <c r="A137" s="14"/>
      <c r="B137" s="94"/>
      <c r="C137" s="25"/>
      <c r="D137" s="94"/>
      <c r="E137" s="94"/>
      <c r="F137" s="94"/>
      <c r="G137" s="94"/>
      <c r="H137" s="94"/>
      <c r="I137" s="94"/>
      <c r="J137" s="94"/>
      <c r="K137" s="94"/>
      <c r="L137" s="94"/>
      <c r="M137" s="94"/>
      <c r="N137" s="94"/>
      <c r="O137" s="94"/>
      <c r="P137" s="94"/>
      <c r="Q137" s="94"/>
      <c r="R137" s="94"/>
      <c r="S137" s="14"/>
      <c r="T137" s="15"/>
      <c r="U137" s="15"/>
      <c r="V137" s="16"/>
      <c r="W137" s="94"/>
      <c r="X137" s="25"/>
      <c r="Y137" s="94"/>
      <c r="Z137" s="94"/>
      <c r="AA137" s="94"/>
      <c r="AB137" s="94"/>
      <c r="AC137" s="94"/>
      <c r="AD137" s="94"/>
      <c r="AE137" s="94"/>
      <c r="AF137" s="94"/>
      <c r="AG137" s="94"/>
      <c r="AH137" s="94"/>
      <c r="AI137" s="94"/>
      <c r="AJ137" s="94"/>
      <c r="AK137" s="94"/>
      <c r="AL137" s="94"/>
      <c r="AM137" s="99"/>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row>
    <row r="138" spans="1:74">
      <c r="A138" s="14"/>
      <c r="B138" s="94"/>
      <c r="C138" s="25"/>
      <c r="D138" s="94"/>
      <c r="E138" s="94"/>
      <c r="F138" s="94"/>
      <c r="G138" s="94"/>
      <c r="H138" s="94"/>
      <c r="I138" s="94"/>
      <c r="J138" s="94"/>
      <c r="K138" s="94"/>
      <c r="L138" s="94"/>
      <c r="M138" s="94"/>
      <c r="N138" s="94"/>
      <c r="O138" s="94"/>
      <c r="P138" s="94"/>
      <c r="Q138" s="94"/>
      <c r="R138" s="94"/>
      <c r="S138" s="14"/>
      <c r="T138" s="15"/>
      <c r="U138" s="15"/>
      <c r="V138" s="16"/>
      <c r="W138" s="94"/>
      <c r="X138" s="25"/>
      <c r="Y138" s="94"/>
      <c r="Z138" s="94"/>
      <c r="AA138" s="94"/>
      <c r="AB138" s="94"/>
      <c r="AC138" s="94"/>
      <c r="AD138" s="94"/>
      <c r="AE138" s="94"/>
      <c r="AF138" s="94"/>
      <c r="AG138" s="94"/>
      <c r="AH138" s="94"/>
      <c r="AI138" s="94"/>
      <c r="AJ138" s="94"/>
      <c r="AK138" s="94"/>
      <c r="AL138" s="94"/>
      <c r="AM138" s="99"/>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row>
    <row r="139" spans="1:74">
      <c r="A139" s="14"/>
      <c r="B139" s="94"/>
      <c r="C139" s="25"/>
      <c r="D139" s="94"/>
      <c r="E139" s="94"/>
      <c r="F139" s="94"/>
      <c r="G139" s="94"/>
      <c r="H139" s="94"/>
      <c r="I139" s="94"/>
      <c r="J139" s="94"/>
      <c r="K139" s="94"/>
      <c r="L139" s="94"/>
      <c r="M139" s="94"/>
      <c r="N139" s="94"/>
      <c r="O139" s="94"/>
      <c r="P139" s="94"/>
      <c r="Q139" s="94"/>
      <c r="R139" s="94"/>
      <c r="S139" s="14"/>
      <c r="T139" s="15"/>
      <c r="U139" s="15"/>
      <c r="V139" s="16"/>
      <c r="W139" s="94"/>
      <c r="X139" s="25"/>
      <c r="Y139" s="94"/>
      <c r="Z139" s="94"/>
      <c r="AA139" s="94"/>
      <c r="AB139" s="94"/>
      <c r="AC139" s="94"/>
      <c r="AD139" s="94"/>
      <c r="AE139" s="94"/>
      <c r="AF139" s="94"/>
      <c r="AG139" s="94"/>
      <c r="AH139" s="94"/>
      <c r="AI139" s="94"/>
      <c r="AJ139" s="94"/>
      <c r="AK139" s="94"/>
      <c r="AL139" s="94"/>
      <c r="AM139" s="99"/>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row>
    <row r="140" spans="1:74">
      <c r="A140" s="14"/>
      <c r="B140" s="94"/>
      <c r="C140" s="25"/>
      <c r="D140" s="94"/>
      <c r="E140" s="94"/>
      <c r="F140" s="94"/>
      <c r="G140" s="94"/>
      <c r="H140" s="94"/>
      <c r="I140" s="94"/>
      <c r="J140" s="94"/>
      <c r="K140" s="94"/>
      <c r="L140" s="94"/>
      <c r="M140" s="94"/>
      <c r="N140" s="94"/>
      <c r="O140" s="94"/>
      <c r="P140" s="94"/>
      <c r="Q140" s="94"/>
      <c r="R140" s="94"/>
      <c r="S140" s="14"/>
      <c r="T140" s="15"/>
      <c r="U140" s="15"/>
      <c r="V140" s="16"/>
      <c r="W140" s="94"/>
      <c r="X140" s="25"/>
      <c r="Y140" s="94"/>
      <c r="Z140" s="94"/>
      <c r="AA140" s="94"/>
      <c r="AB140" s="94"/>
      <c r="AC140" s="94"/>
      <c r="AD140" s="94"/>
      <c r="AE140" s="94"/>
      <c r="AF140" s="94"/>
      <c r="AG140" s="94"/>
      <c r="AH140" s="94"/>
      <c r="AI140" s="94"/>
      <c r="AJ140" s="94"/>
      <c r="AK140" s="94"/>
      <c r="AL140" s="94"/>
      <c r="AM140" s="99"/>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row>
    <row r="141" spans="1:74">
      <c r="A141" s="14"/>
      <c r="B141" s="94"/>
      <c r="C141" s="25"/>
      <c r="D141" s="94"/>
      <c r="E141" s="94"/>
      <c r="F141" s="94"/>
      <c r="G141" s="94"/>
      <c r="H141" s="94"/>
      <c r="I141" s="94"/>
      <c r="J141" s="94"/>
      <c r="K141" s="94"/>
      <c r="L141" s="94"/>
      <c r="M141" s="94"/>
      <c r="N141" s="94"/>
      <c r="O141" s="94"/>
      <c r="P141" s="94"/>
      <c r="Q141" s="94"/>
      <c r="R141" s="94"/>
      <c r="S141" s="14"/>
      <c r="T141" s="15"/>
      <c r="U141" s="15"/>
      <c r="V141" s="16"/>
      <c r="W141" s="94"/>
      <c r="X141" s="25"/>
      <c r="Y141" s="94"/>
      <c r="Z141" s="94"/>
      <c r="AA141" s="94"/>
      <c r="AB141" s="94"/>
      <c r="AC141" s="94"/>
      <c r="AD141" s="94"/>
      <c r="AE141" s="94"/>
      <c r="AF141" s="94"/>
      <c r="AG141" s="94"/>
      <c r="AH141" s="94"/>
      <c r="AI141" s="94"/>
      <c r="AJ141" s="94"/>
      <c r="AK141" s="94"/>
      <c r="AL141" s="94"/>
      <c r="AM141" s="99"/>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row>
    <row r="142" spans="1:74">
      <c r="A142" s="14"/>
      <c r="B142" s="94"/>
      <c r="C142" s="25"/>
      <c r="D142" s="94"/>
      <c r="E142" s="94"/>
      <c r="F142" s="94"/>
      <c r="G142" s="94"/>
      <c r="H142" s="94"/>
      <c r="I142" s="94"/>
      <c r="J142" s="94"/>
      <c r="K142" s="94"/>
      <c r="L142" s="94"/>
      <c r="M142" s="94"/>
      <c r="N142" s="94"/>
      <c r="O142" s="94"/>
      <c r="P142" s="94"/>
      <c r="Q142" s="94"/>
      <c r="R142" s="94"/>
      <c r="S142" s="14"/>
      <c r="T142" s="15"/>
      <c r="U142" s="15"/>
      <c r="V142" s="16"/>
      <c r="W142" s="94"/>
      <c r="X142" s="25"/>
      <c r="Y142" s="94"/>
      <c r="Z142" s="94"/>
      <c r="AA142" s="94"/>
      <c r="AB142" s="94"/>
      <c r="AC142" s="94"/>
      <c r="AD142" s="94"/>
      <c r="AE142" s="94"/>
      <c r="AF142" s="94"/>
      <c r="AG142" s="94"/>
      <c r="AH142" s="94"/>
      <c r="AI142" s="94"/>
      <c r="AJ142" s="94"/>
      <c r="AK142" s="94"/>
      <c r="AL142" s="94"/>
      <c r="AM142" s="99"/>
      <c r="AN142" s="14"/>
      <c r="AO142" s="14"/>
      <c r="AP142" s="14"/>
      <c r="AQ142" s="14"/>
      <c r="AR142" s="14"/>
      <c r="AS142" s="14"/>
      <c r="AT142" s="14"/>
      <c r="AU142" s="14"/>
      <c r="AV142" s="14"/>
      <c r="AW142" s="14"/>
      <c r="AX142" s="14"/>
      <c r="AY142" s="14"/>
      <c r="AZ142" s="14"/>
      <c r="BA142" s="14"/>
      <c r="BB142" s="14"/>
    </row>
    <row r="143" spans="1:74">
      <c r="A143" s="14"/>
      <c r="B143" s="94"/>
      <c r="C143" s="25"/>
      <c r="D143" s="94"/>
      <c r="E143" s="94"/>
      <c r="F143" s="94"/>
      <c r="G143" s="94"/>
      <c r="H143" s="94"/>
      <c r="I143" s="94"/>
      <c r="J143" s="94"/>
      <c r="K143" s="94"/>
      <c r="L143" s="94"/>
      <c r="M143" s="94"/>
      <c r="N143" s="94"/>
      <c r="O143" s="94"/>
      <c r="P143" s="94"/>
      <c r="Q143" s="94"/>
      <c r="R143" s="94"/>
      <c r="S143" s="14"/>
      <c r="T143" s="15"/>
      <c r="U143" s="15"/>
      <c r="V143" s="16"/>
      <c r="W143" s="94"/>
      <c r="X143" s="25"/>
      <c r="Y143" s="94"/>
      <c r="Z143" s="94"/>
      <c r="AA143" s="94"/>
      <c r="AB143" s="94"/>
      <c r="AC143" s="94"/>
      <c r="AD143" s="94"/>
      <c r="AE143" s="94"/>
      <c r="AF143" s="94"/>
      <c r="AG143" s="94"/>
      <c r="AH143" s="94"/>
      <c r="AI143" s="94"/>
      <c r="AJ143" s="94"/>
      <c r="AK143" s="94"/>
      <c r="AL143" s="94"/>
      <c r="AM143" s="99"/>
      <c r="AN143" s="14"/>
      <c r="AO143" s="14"/>
      <c r="AP143" s="14"/>
      <c r="AQ143" s="14"/>
      <c r="AR143" s="14"/>
      <c r="AS143" s="14"/>
      <c r="AT143" s="14"/>
      <c r="AU143" s="14"/>
      <c r="AV143" s="14"/>
      <c r="AW143" s="14"/>
      <c r="AX143" s="14"/>
      <c r="AY143" s="14"/>
      <c r="AZ143" s="14"/>
      <c r="BA143" s="14"/>
      <c r="BB143" s="14"/>
    </row>
    <row r="144" spans="1:74">
      <c r="A144" s="14"/>
      <c r="B144" s="94"/>
      <c r="C144" s="25"/>
      <c r="D144" s="94"/>
      <c r="E144" s="94"/>
      <c r="F144" s="94"/>
      <c r="G144" s="94"/>
      <c r="H144" s="94"/>
      <c r="I144" s="94"/>
      <c r="J144" s="94"/>
      <c r="K144" s="94"/>
      <c r="L144" s="94"/>
      <c r="M144" s="94"/>
      <c r="N144" s="94"/>
      <c r="O144" s="94"/>
      <c r="P144" s="94"/>
      <c r="Q144" s="94"/>
      <c r="R144" s="94"/>
      <c r="S144" s="14"/>
      <c r="T144" s="15"/>
      <c r="U144" s="15"/>
      <c r="V144" s="16"/>
      <c r="W144" s="94"/>
      <c r="X144" s="25"/>
      <c r="Y144" s="94"/>
      <c r="Z144" s="94"/>
      <c r="AA144" s="94"/>
      <c r="AB144" s="94"/>
      <c r="AC144" s="94"/>
      <c r="AD144" s="94"/>
      <c r="AE144" s="94"/>
      <c r="AF144" s="94"/>
      <c r="AG144" s="94"/>
      <c r="AH144" s="94"/>
      <c r="AI144" s="94"/>
      <c r="AJ144" s="94"/>
      <c r="AK144" s="94"/>
      <c r="AL144" s="94"/>
      <c r="AM144" s="99"/>
      <c r="AN144" s="14"/>
      <c r="AO144" s="14"/>
      <c r="AP144" s="14"/>
      <c r="AQ144" s="14"/>
      <c r="AR144" s="14"/>
      <c r="AS144" s="14"/>
      <c r="AT144" s="14"/>
      <c r="AU144" s="14"/>
      <c r="AV144" s="14"/>
      <c r="AW144" s="14"/>
      <c r="AX144" s="14"/>
      <c r="AY144" s="14"/>
      <c r="AZ144" s="14"/>
      <c r="BA144" s="14"/>
      <c r="BB144" s="14"/>
    </row>
    <row r="145" spans="1:54">
      <c r="A145" s="14"/>
      <c r="B145" s="94"/>
      <c r="C145" s="25"/>
      <c r="D145" s="94"/>
      <c r="E145" s="94"/>
      <c r="F145" s="94"/>
      <c r="G145" s="94"/>
      <c r="H145" s="94"/>
      <c r="I145" s="94"/>
      <c r="J145" s="94"/>
      <c r="K145" s="94"/>
      <c r="L145" s="94"/>
      <c r="M145" s="94"/>
      <c r="N145" s="94"/>
      <c r="O145" s="94"/>
      <c r="P145" s="94"/>
      <c r="Q145" s="94"/>
      <c r="R145" s="94"/>
      <c r="S145" s="14"/>
      <c r="T145" s="15"/>
      <c r="U145" s="15"/>
      <c r="V145" s="16"/>
      <c r="W145" s="94"/>
      <c r="X145" s="25"/>
      <c r="Y145" s="94"/>
      <c r="Z145" s="94"/>
      <c r="AA145" s="94"/>
      <c r="AB145" s="94"/>
      <c r="AC145" s="94"/>
      <c r="AD145" s="94"/>
      <c r="AE145" s="94"/>
      <c r="AF145" s="94"/>
      <c r="AG145" s="94"/>
      <c r="AH145" s="94"/>
      <c r="AI145" s="94"/>
      <c r="AJ145" s="94"/>
      <c r="AK145" s="94"/>
      <c r="AL145" s="94"/>
      <c r="AM145" s="99"/>
      <c r="AN145" s="14"/>
      <c r="AO145" s="14"/>
      <c r="AP145" s="14"/>
      <c r="AQ145" s="14"/>
      <c r="AR145" s="14"/>
      <c r="AS145" s="14"/>
      <c r="AT145" s="14"/>
      <c r="AU145" s="14"/>
      <c r="AV145" s="14"/>
      <c r="AW145" s="14"/>
      <c r="AX145" s="14"/>
      <c r="AY145" s="14"/>
      <c r="AZ145" s="14"/>
      <c r="BA145" s="14"/>
      <c r="BB145" s="14"/>
    </row>
    <row r="146" spans="1:54">
      <c r="A146" s="14"/>
      <c r="B146" s="94"/>
      <c r="C146" s="25"/>
      <c r="D146" s="94"/>
      <c r="E146" s="94"/>
      <c r="F146" s="94"/>
      <c r="G146" s="94"/>
      <c r="H146" s="94"/>
      <c r="I146" s="94"/>
      <c r="J146" s="94"/>
      <c r="K146" s="94"/>
      <c r="L146" s="94"/>
      <c r="M146" s="94"/>
      <c r="N146" s="94"/>
      <c r="O146" s="94"/>
      <c r="P146" s="94"/>
      <c r="Q146" s="94"/>
      <c r="R146" s="94"/>
      <c r="S146" s="14"/>
      <c r="T146" s="15"/>
      <c r="U146" s="15"/>
      <c r="V146" s="16"/>
      <c r="W146" s="94"/>
      <c r="X146" s="25"/>
      <c r="Y146" s="94"/>
      <c r="Z146" s="94"/>
      <c r="AA146" s="94"/>
      <c r="AB146" s="94"/>
      <c r="AC146" s="94"/>
      <c r="AD146" s="94"/>
      <c r="AE146" s="94"/>
      <c r="AF146" s="94"/>
      <c r="AG146" s="94"/>
      <c r="AH146" s="94"/>
      <c r="AI146" s="94"/>
      <c r="AJ146" s="94"/>
      <c r="AK146" s="94"/>
      <c r="AL146" s="94"/>
      <c r="AM146" s="99"/>
      <c r="AN146" s="14"/>
      <c r="AO146" s="14"/>
      <c r="AP146" s="14"/>
      <c r="AQ146" s="14"/>
      <c r="AR146" s="14"/>
      <c r="AS146" s="14"/>
      <c r="AT146" s="14"/>
      <c r="AU146" s="14"/>
      <c r="AV146" s="14"/>
      <c r="AW146" s="14"/>
      <c r="AX146" s="14"/>
      <c r="AY146" s="14"/>
      <c r="AZ146" s="14"/>
      <c r="BA146" s="14"/>
      <c r="BB146" s="14"/>
    </row>
    <row r="147" spans="1:54">
      <c r="A147" s="14"/>
      <c r="B147" s="94"/>
      <c r="C147" s="25"/>
      <c r="D147" s="94"/>
      <c r="E147" s="94"/>
      <c r="F147" s="94"/>
      <c r="G147" s="94"/>
      <c r="H147" s="94"/>
      <c r="I147" s="94"/>
      <c r="J147" s="94"/>
      <c r="K147" s="94"/>
      <c r="L147" s="94"/>
      <c r="M147" s="94"/>
      <c r="N147" s="94"/>
      <c r="O147" s="94"/>
      <c r="P147" s="94"/>
      <c r="Q147" s="94"/>
      <c r="R147" s="94"/>
      <c r="S147" s="14"/>
      <c r="T147" s="15"/>
      <c r="U147" s="15"/>
      <c r="V147" s="16"/>
      <c r="W147" s="94"/>
      <c r="X147" s="25"/>
      <c r="Y147" s="94"/>
      <c r="Z147" s="94"/>
      <c r="AA147" s="94"/>
      <c r="AB147" s="94"/>
      <c r="AC147" s="94"/>
      <c r="AD147" s="94"/>
      <c r="AE147" s="94"/>
      <c r="AF147" s="94"/>
      <c r="AG147" s="94"/>
      <c r="AH147" s="94"/>
      <c r="AI147" s="94"/>
      <c r="AJ147" s="94"/>
      <c r="AK147" s="94"/>
      <c r="AL147" s="94"/>
      <c r="AM147" s="99"/>
      <c r="AN147" s="14"/>
      <c r="AO147" s="14"/>
      <c r="AP147" s="14"/>
      <c r="AQ147" s="14"/>
      <c r="AR147" s="14"/>
      <c r="AS147" s="14"/>
      <c r="AT147" s="14"/>
      <c r="AU147" s="14"/>
      <c r="AV147" s="14"/>
      <c r="AW147" s="14"/>
      <c r="AX147" s="14"/>
      <c r="AY147" s="14"/>
      <c r="AZ147" s="14"/>
      <c r="BA147" s="14"/>
      <c r="BB147" s="14"/>
    </row>
    <row r="148" spans="1:54">
      <c r="A148" s="14"/>
      <c r="B148" s="94"/>
      <c r="C148" s="25"/>
      <c r="D148" s="94"/>
      <c r="E148" s="94"/>
      <c r="F148" s="94"/>
      <c r="G148" s="94"/>
      <c r="H148" s="94"/>
      <c r="I148" s="94"/>
      <c r="J148" s="94"/>
      <c r="K148" s="94"/>
      <c r="L148" s="94"/>
      <c r="M148" s="94"/>
      <c r="N148" s="94"/>
      <c r="O148" s="94"/>
      <c r="P148" s="94"/>
      <c r="Q148" s="94"/>
      <c r="R148" s="94"/>
      <c r="S148" s="14"/>
      <c r="T148" s="15"/>
      <c r="U148" s="15"/>
      <c r="V148" s="16"/>
      <c r="W148" s="94"/>
      <c r="X148" s="25"/>
      <c r="Y148" s="94"/>
      <c r="Z148" s="94"/>
      <c r="AA148" s="94"/>
      <c r="AB148" s="94"/>
      <c r="AC148" s="94"/>
      <c r="AD148" s="94"/>
      <c r="AE148" s="94"/>
      <c r="AF148" s="94"/>
      <c r="AG148" s="94"/>
      <c r="AH148" s="94"/>
      <c r="AI148" s="94"/>
      <c r="AJ148" s="94"/>
      <c r="AK148" s="94"/>
      <c r="AL148" s="94"/>
      <c r="AM148" s="99"/>
      <c r="AN148" s="14"/>
      <c r="AO148" s="14"/>
      <c r="AP148" s="14"/>
      <c r="AQ148" s="14"/>
      <c r="AR148" s="14"/>
      <c r="AS148" s="14"/>
      <c r="AT148" s="14"/>
      <c r="AU148" s="14"/>
      <c r="AV148" s="14"/>
      <c r="AW148" s="14"/>
      <c r="AX148" s="14"/>
      <c r="AY148" s="14"/>
      <c r="AZ148" s="14"/>
      <c r="BA148" s="14"/>
      <c r="BB148" s="14"/>
    </row>
    <row r="149" spans="1:54">
      <c r="A149" s="14"/>
      <c r="B149" s="94"/>
      <c r="C149" s="25"/>
      <c r="D149" s="94"/>
      <c r="E149" s="94"/>
      <c r="F149" s="94"/>
      <c r="G149" s="94"/>
      <c r="H149" s="94"/>
      <c r="I149" s="94"/>
      <c r="J149" s="94"/>
      <c r="K149" s="94"/>
      <c r="L149" s="94"/>
      <c r="M149" s="94"/>
      <c r="N149" s="94"/>
      <c r="O149" s="94"/>
      <c r="P149" s="94"/>
      <c r="Q149" s="94"/>
      <c r="R149" s="94"/>
      <c r="S149" s="14"/>
      <c r="T149" s="15"/>
      <c r="U149" s="15"/>
      <c r="V149" s="16"/>
      <c r="W149" s="94"/>
      <c r="X149" s="25"/>
      <c r="Y149" s="94"/>
      <c r="Z149" s="94"/>
      <c r="AA149" s="94"/>
      <c r="AB149" s="94"/>
      <c r="AC149" s="94"/>
      <c r="AD149" s="94"/>
      <c r="AE149" s="94"/>
      <c r="AF149" s="94"/>
      <c r="AG149" s="94"/>
      <c r="AH149" s="94"/>
      <c r="AI149" s="94"/>
      <c r="AJ149" s="94"/>
      <c r="AK149" s="94"/>
      <c r="AL149" s="94"/>
      <c r="AM149" s="99"/>
      <c r="AN149" s="14"/>
      <c r="AO149" s="14"/>
      <c r="AP149" s="14"/>
      <c r="AQ149" s="14"/>
      <c r="AR149" s="14"/>
      <c r="AS149" s="14"/>
      <c r="AT149" s="14"/>
      <c r="AU149" s="14"/>
      <c r="AV149" s="14"/>
      <c r="AW149" s="14"/>
      <c r="AX149" s="14"/>
      <c r="AY149" s="14"/>
      <c r="AZ149" s="14"/>
      <c r="BA149" s="14"/>
      <c r="BB149" s="14"/>
    </row>
    <row r="150" spans="1:54">
      <c r="A150" s="14"/>
      <c r="B150" s="94"/>
      <c r="C150" s="25"/>
      <c r="D150" s="94"/>
      <c r="E150" s="94"/>
      <c r="F150" s="94"/>
      <c r="G150" s="94"/>
      <c r="H150" s="94"/>
      <c r="I150" s="94"/>
      <c r="J150" s="94"/>
      <c r="K150" s="94"/>
      <c r="L150" s="94"/>
      <c r="M150" s="94"/>
      <c r="N150" s="94"/>
      <c r="O150" s="94"/>
      <c r="P150" s="94"/>
      <c r="Q150" s="94"/>
      <c r="R150" s="94"/>
      <c r="S150" s="14"/>
      <c r="T150" s="15"/>
      <c r="U150" s="15"/>
      <c r="V150" s="16"/>
      <c r="W150" s="94"/>
      <c r="X150" s="25"/>
      <c r="Y150" s="94"/>
      <c r="Z150" s="94"/>
      <c r="AA150" s="94"/>
      <c r="AB150" s="94"/>
      <c r="AC150" s="94"/>
      <c r="AD150" s="94"/>
      <c r="AE150" s="94"/>
      <c r="AF150" s="94"/>
      <c r="AG150" s="94"/>
      <c r="AH150" s="94"/>
      <c r="AI150" s="94"/>
      <c r="AJ150" s="94"/>
      <c r="AK150" s="94"/>
      <c r="AL150" s="94"/>
      <c r="AM150" s="99"/>
      <c r="AN150" s="14"/>
      <c r="AO150" s="14"/>
      <c r="AP150" s="14"/>
      <c r="AQ150" s="14"/>
      <c r="AR150" s="14"/>
      <c r="AS150" s="14"/>
      <c r="AT150" s="14"/>
      <c r="AU150" s="14"/>
      <c r="AV150" s="14"/>
      <c r="AW150" s="14"/>
      <c r="AX150" s="14"/>
      <c r="AY150" s="14"/>
      <c r="AZ150" s="14"/>
      <c r="BA150" s="14"/>
      <c r="BB150" s="14"/>
    </row>
  </sheetData>
  <sheetProtection algorithmName="SHA-512" hashValue="Q5I5Zxxiaf3NhWc+uhwNlfjnU2GfIjDmghWGQH08GMOe4zKUWF5hqQ1PGkTz07bSk1is1FffHXUglErl0tS2Pw==" saltValue="tgPtj27Fjyk1c/o6NKNNVA==" spinCount="100000" sheet="1" objects="1" scenarios="1"/>
  <mergeCells count="3">
    <mergeCell ref="A1:A2"/>
    <mergeCell ref="T1:U8"/>
    <mergeCell ref="A8:A10"/>
  </mergeCells>
  <conditionalFormatting sqref="S10:S93 V10:V93">
    <cfRule type="expression" dxfId="155" priority="1377">
      <formula>MOD(ROW(),2)=0</formula>
    </cfRule>
    <cfRule type="expression" dxfId="154" priority="1378">
      <formula>MOD(ROW(),2)=1</formula>
    </cfRule>
  </conditionalFormatting>
  <conditionalFormatting sqref="W17 W29 W27 W23 W21 W14:W15 W11:W12 W25 W19 W31 B30 B16 B24 B28 B26 B18 B22 B20">
    <cfRule type="expression" dxfId="153" priority="153">
      <formula>MOD(ROW(),2)=0</formula>
    </cfRule>
    <cfRule type="expression" dxfId="152" priority="154">
      <formula>MOD(ROW(),2)=1</formula>
    </cfRule>
  </conditionalFormatting>
  <conditionalFormatting sqref="O10:O93">
    <cfRule type="expression" dxfId="151" priority="146">
      <formula>MOD(ROW(),2)=0</formula>
    </cfRule>
  </conditionalFormatting>
  <conditionalFormatting sqref="O10:O93">
    <cfRule type="expression" dxfId="150" priority="145">
      <formula>MOD(ROW(),2)=1</formula>
    </cfRule>
  </conditionalFormatting>
  <conditionalFormatting sqref="AJ10:AJ93">
    <cfRule type="expression" dxfId="149" priority="144">
      <formula>MOD(ROW(),2)=0</formula>
    </cfRule>
  </conditionalFormatting>
  <conditionalFormatting sqref="AJ10:AJ93">
    <cfRule type="expression" dxfId="148" priority="143">
      <formula>MOD(ROW(),2)=1</formula>
    </cfRule>
  </conditionalFormatting>
  <conditionalFormatting sqref="AE58:AE59">
    <cfRule type="expression" dxfId="147" priority="141">
      <formula>MOD(ROW(),2)=0</formula>
    </cfRule>
    <cfRule type="expression" dxfId="146" priority="142">
      <formula>MOD(ROW(),2)=1</formula>
    </cfRule>
  </conditionalFormatting>
  <conditionalFormatting sqref="AE55:AE56">
    <cfRule type="expression" dxfId="145" priority="139">
      <formula>MOD(ROW(),2)=0</formula>
    </cfRule>
    <cfRule type="expression" dxfId="144" priority="140">
      <formula>MOD(ROW(),2)=1</formula>
    </cfRule>
  </conditionalFormatting>
  <conditionalFormatting sqref="AE53:AE54">
    <cfRule type="expression" dxfId="143" priority="137">
      <formula>MOD(ROW(),2)=0</formula>
    </cfRule>
    <cfRule type="expression" dxfId="142" priority="138">
      <formula>MOD(ROW(),2)=1</formula>
    </cfRule>
  </conditionalFormatting>
  <conditionalFormatting sqref="AE50:AE51">
    <cfRule type="expression" dxfId="141" priority="135">
      <formula>MOD(ROW(),2)=0</formula>
    </cfRule>
    <cfRule type="expression" dxfId="140" priority="136">
      <formula>MOD(ROW(),2)=1</formula>
    </cfRule>
  </conditionalFormatting>
  <conditionalFormatting sqref="AE48:AE49">
    <cfRule type="expression" dxfId="139" priority="133">
      <formula>MOD(ROW(),2)=0</formula>
    </cfRule>
    <cfRule type="expression" dxfId="138" priority="134">
      <formula>MOD(ROW(),2)=1</formula>
    </cfRule>
  </conditionalFormatting>
  <conditionalFormatting sqref="AE45:AE46">
    <cfRule type="expression" dxfId="137" priority="131">
      <formula>MOD(ROW(),2)=0</formula>
    </cfRule>
    <cfRule type="expression" dxfId="136" priority="132">
      <formula>MOD(ROW(),2)=1</formula>
    </cfRule>
  </conditionalFormatting>
  <conditionalFormatting sqref="AE60:AE61">
    <cfRule type="expression" dxfId="135" priority="129">
      <formula>MOD(ROW(),2)=0</formula>
    </cfRule>
    <cfRule type="expression" dxfId="134" priority="130">
      <formula>MOD(ROW(),2)=1</formula>
    </cfRule>
  </conditionalFormatting>
  <conditionalFormatting sqref="J44:J45">
    <cfRule type="expression" dxfId="133" priority="127">
      <formula>MOD(ROW(),2)=0</formula>
    </cfRule>
    <cfRule type="expression" dxfId="132" priority="128">
      <formula>MOD(ROW(),2)=1</formula>
    </cfRule>
  </conditionalFormatting>
  <conditionalFormatting sqref="J47:J48">
    <cfRule type="expression" dxfId="131" priority="125">
      <formula>MOD(ROW(),2)=0</formula>
    </cfRule>
    <cfRule type="expression" dxfId="130" priority="126">
      <formula>MOD(ROW(),2)=1</formula>
    </cfRule>
  </conditionalFormatting>
  <conditionalFormatting sqref="J49:J50">
    <cfRule type="expression" dxfId="129" priority="123">
      <formula>MOD(ROW(),2)=0</formula>
    </cfRule>
    <cfRule type="expression" dxfId="128" priority="124">
      <formula>MOD(ROW(),2)=1</formula>
    </cfRule>
  </conditionalFormatting>
  <conditionalFormatting sqref="J52:J53">
    <cfRule type="expression" dxfId="127" priority="121">
      <formula>MOD(ROW(),2)=0</formula>
    </cfRule>
    <cfRule type="expression" dxfId="126" priority="122">
      <formula>MOD(ROW(),2)=1</formula>
    </cfRule>
  </conditionalFormatting>
  <conditionalFormatting sqref="J54:J55">
    <cfRule type="expression" dxfId="125" priority="119">
      <formula>MOD(ROW(),2)=0</formula>
    </cfRule>
    <cfRule type="expression" dxfId="124" priority="120">
      <formula>MOD(ROW(),2)=1</formula>
    </cfRule>
  </conditionalFormatting>
  <conditionalFormatting sqref="J57:J58">
    <cfRule type="expression" dxfId="123" priority="117">
      <formula>MOD(ROW(),2)=0</formula>
    </cfRule>
    <cfRule type="expression" dxfId="122" priority="118">
      <formula>MOD(ROW(),2)=1</formula>
    </cfRule>
  </conditionalFormatting>
  <conditionalFormatting sqref="J59:J60">
    <cfRule type="expression" dxfId="121" priority="115">
      <formula>MOD(ROW(),2)=0</formula>
    </cfRule>
    <cfRule type="expression" dxfId="120" priority="116">
      <formula>MOD(ROW(),2)=1</formula>
    </cfRule>
  </conditionalFormatting>
  <conditionalFormatting sqref="J62:J63">
    <cfRule type="expression" dxfId="119" priority="113">
      <formula>MOD(ROW(),2)=0</formula>
    </cfRule>
    <cfRule type="expression" dxfId="118" priority="114">
      <formula>MOD(ROW(),2)=1</formula>
    </cfRule>
  </conditionalFormatting>
  <conditionalFormatting sqref="J64:J65">
    <cfRule type="expression" dxfId="117" priority="111">
      <formula>MOD(ROW(),2)=0</formula>
    </cfRule>
    <cfRule type="expression" dxfId="116" priority="112">
      <formula>MOD(ROW(),2)=1</formula>
    </cfRule>
  </conditionalFormatting>
  <conditionalFormatting sqref="J67:J68">
    <cfRule type="expression" dxfId="115" priority="109">
      <formula>MOD(ROW(),2)=0</formula>
    </cfRule>
    <cfRule type="expression" dxfId="114" priority="110">
      <formula>MOD(ROW(),2)=1</formula>
    </cfRule>
  </conditionalFormatting>
  <conditionalFormatting sqref="J69:J70">
    <cfRule type="expression" dxfId="113" priority="107">
      <formula>MOD(ROW(),2)=0</formula>
    </cfRule>
    <cfRule type="expression" dxfId="112" priority="108">
      <formula>MOD(ROW(),2)=1</formula>
    </cfRule>
  </conditionalFormatting>
  <conditionalFormatting sqref="J72:J73">
    <cfRule type="expression" dxfId="111" priority="105">
      <formula>MOD(ROW(),2)=0</formula>
    </cfRule>
    <cfRule type="expression" dxfId="110" priority="106">
      <formula>MOD(ROW(),2)=1</formula>
    </cfRule>
  </conditionalFormatting>
  <conditionalFormatting sqref="J74:J75">
    <cfRule type="expression" dxfId="109" priority="103">
      <formula>MOD(ROW(),2)=0</formula>
    </cfRule>
    <cfRule type="expression" dxfId="108" priority="104">
      <formula>MOD(ROW(),2)=1</formula>
    </cfRule>
  </conditionalFormatting>
  <conditionalFormatting sqref="J77:J78">
    <cfRule type="expression" dxfId="107" priority="101">
      <formula>MOD(ROW(),2)=0</formula>
    </cfRule>
    <cfRule type="expression" dxfId="106" priority="102">
      <formula>MOD(ROW(),2)=1</formula>
    </cfRule>
  </conditionalFormatting>
  <conditionalFormatting sqref="J79:J80">
    <cfRule type="expression" dxfId="105" priority="99">
      <formula>MOD(ROW(),2)=0</formula>
    </cfRule>
    <cfRule type="expression" dxfId="104" priority="100">
      <formula>MOD(ROW(),2)=1</formula>
    </cfRule>
  </conditionalFormatting>
  <conditionalFormatting sqref="J82:J83">
    <cfRule type="expression" dxfId="103" priority="97">
      <formula>MOD(ROW(),2)=0</formula>
    </cfRule>
    <cfRule type="expression" dxfId="102" priority="98">
      <formula>MOD(ROW(),2)=1</formula>
    </cfRule>
  </conditionalFormatting>
  <conditionalFormatting sqref="J85:J86">
    <cfRule type="expression" dxfId="101" priority="95">
      <formula>MOD(ROW(),2)=0</formula>
    </cfRule>
    <cfRule type="expression" dxfId="100" priority="96">
      <formula>MOD(ROW(),2)=1</formula>
    </cfRule>
  </conditionalFormatting>
  <conditionalFormatting sqref="J88:J89">
    <cfRule type="expression" dxfId="99" priority="93">
      <formula>MOD(ROW(),2)=0</formula>
    </cfRule>
    <cfRule type="expression" dxfId="98" priority="94">
      <formula>MOD(ROW(),2)=1</formula>
    </cfRule>
  </conditionalFormatting>
  <conditionalFormatting sqref="J90:J91">
    <cfRule type="expression" dxfId="97" priority="91">
      <formula>MOD(ROW(),2)=0</formula>
    </cfRule>
    <cfRule type="expression" dxfId="96" priority="92">
      <formula>MOD(ROW(),2)=1</formula>
    </cfRule>
  </conditionalFormatting>
  <conditionalFormatting sqref="J59:J60">
    <cfRule type="expression" dxfId="95" priority="89">
      <formula>MOD(ROW(),2)=0</formula>
    </cfRule>
    <cfRule type="expression" dxfId="94" priority="90">
      <formula>MOD(ROW(),2)=1</formula>
    </cfRule>
  </conditionalFormatting>
  <conditionalFormatting sqref="J57:J58">
    <cfRule type="expression" dxfId="93" priority="87">
      <formula>MOD(ROW(),2)=0</formula>
    </cfRule>
    <cfRule type="expression" dxfId="92" priority="88">
      <formula>MOD(ROW(),2)=1</formula>
    </cfRule>
  </conditionalFormatting>
  <conditionalFormatting sqref="J54:J55">
    <cfRule type="expression" dxfId="91" priority="85">
      <formula>MOD(ROW(),2)=0</formula>
    </cfRule>
    <cfRule type="expression" dxfId="90" priority="86">
      <formula>MOD(ROW(),2)=1</formula>
    </cfRule>
  </conditionalFormatting>
  <conditionalFormatting sqref="J52:J53">
    <cfRule type="expression" dxfId="89" priority="83">
      <formula>MOD(ROW(),2)=0</formula>
    </cfRule>
    <cfRule type="expression" dxfId="88" priority="84">
      <formula>MOD(ROW(),2)=1</formula>
    </cfRule>
  </conditionalFormatting>
  <conditionalFormatting sqref="J49:J50">
    <cfRule type="expression" dxfId="87" priority="81">
      <formula>MOD(ROW(),2)=0</formula>
    </cfRule>
    <cfRule type="expression" dxfId="86" priority="82">
      <formula>MOD(ROW(),2)=1</formula>
    </cfRule>
  </conditionalFormatting>
  <conditionalFormatting sqref="J47:J48">
    <cfRule type="expression" dxfId="85" priority="79">
      <formula>MOD(ROW(),2)=0</formula>
    </cfRule>
    <cfRule type="expression" dxfId="84" priority="80">
      <formula>MOD(ROW(),2)=1</formula>
    </cfRule>
  </conditionalFormatting>
  <conditionalFormatting sqref="E10:E93">
    <cfRule type="expression" dxfId="83" priority="78">
      <formula>MOD(ROW(),2)=0</formula>
    </cfRule>
  </conditionalFormatting>
  <conditionalFormatting sqref="E10:E93">
    <cfRule type="expression" dxfId="82" priority="77">
      <formula>MOD(ROW(),2)=1</formula>
    </cfRule>
  </conditionalFormatting>
  <conditionalFormatting sqref="Z10:Z93">
    <cfRule type="expression" dxfId="81" priority="76">
      <formula>MOD(ROW(),2)=0</formula>
    </cfRule>
  </conditionalFormatting>
  <conditionalFormatting sqref="Z10:Z93">
    <cfRule type="expression" dxfId="80" priority="75">
      <formula>MOD(ROW(),2)=1</formula>
    </cfRule>
  </conditionalFormatting>
  <conditionalFormatting sqref="Z45:Z46">
    <cfRule type="expression" dxfId="79" priority="74">
      <formula>MOD(ROW(),2)=0</formula>
    </cfRule>
  </conditionalFormatting>
  <conditionalFormatting sqref="Z45:Z46">
    <cfRule type="expression" dxfId="78" priority="73">
      <formula>MOD(ROW(),2)=1</formula>
    </cfRule>
  </conditionalFormatting>
  <conditionalFormatting sqref="Z48:Z51">
    <cfRule type="expression" dxfId="77" priority="72">
      <formula>MOD(ROW(),2)=0</formula>
    </cfRule>
  </conditionalFormatting>
  <conditionalFormatting sqref="Z48:Z51">
    <cfRule type="expression" dxfId="76" priority="71">
      <formula>MOD(ROW(),2)=1</formula>
    </cfRule>
  </conditionalFormatting>
  <conditionalFormatting sqref="Z53:Z54">
    <cfRule type="expression" dxfId="75" priority="70">
      <formula>MOD(ROW(),2)=0</formula>
    </cfRule>
  </conditionalFormatting>
  <conditionalFormatting sqref="Z53:Z54">
    <cfRule type="expression" dxfId="74" priority="69">
      <formula>MOD(ROW(),2)=1</formula>
    </cfRule>
  </conditionalFormatting>
  <conditionalFormatting sqref="Z55:Z56">
    <cfRule type="expression" dxfId="73" priority="68">
      <formula>MOD(ROW(),2)=0</formula>
    </cfRule>
  </conditionalFormatting>
  <conditionalFormatting sqref="Z55:Z56">
    <cfRule type="expression" dxfId="72" priority="67">
      <formula>MOD(ROW(),2)=1</formula>
    </cfRule>
  </conditionalFormatting>
  <conditionalFormatting sqref="Z58:Z59">
    <cfRule type="expression" dxfId="71" priority="66">
      <formula>MOD(ROW(),2)=0</formula>
    </cfRule>
  </conditionalFormatting>
  <conditionalFormatting sqref="Z58:Z59">
    <cfRule type="expression" dxfId="70" priority="65">
      <formula>MOD(ROW(),2)=1</formula>
    </cfRule>
  </conditionalFormatting>
  <conditionalFormatting sqref="Z60:Z61">
    <cfRule type="expression" dxfId="69" priority="64">
      <formula>MOD(ROW(),2)=0</formula>
    </cfRule>
  </conditionalFormatting>
  <conditionalFormatting sqref="Z60:Z61">
    <cfRule type="expression" dxfId="68" priority="63">
      <formula>MOD(ROW(),2)=1</formula>
    </cfRule>
  </conditionalFormatting>
  <conditionalFormatting sqref="Z63">
    <cfRule type="expression" dxfId="67" priority="62">
      <formula>MOD(ROW(),2)=0</formula>
    </cfRule>
  </conditionalFormatting>
  <conditionalFormatting sqref="Z63">
    <cfRule type="expression" dxfId="66" priority="61">
      <formula>MOD(ROW(),2)=1</formula>
    </cfRule>
  </conditionalFormatting>
  <conditionalFormatting sqref="Z64">
    <cfRule type="expression" dxfId="65" priority="60">
      <formula>MOD(ROW(),2)=0</formula>
    </cfRule>
  </conditionalFormatting>
  <conditionalFormatting sqref="Z64">
    <cfRule type="expression" dxfId="64" priority="59">
      <formula>MOD(ROW(),2)=1</formula>
    </cfRule>
  </conditionalFormatting>
  <conditionalFormatting sqref="Z65">
    <cfRule type="expression" dxfId="63" priority="58">
      <formula>MOD(ROW(),2)=0</formula>
    </cfRule>
  </conditionalFormatting>
  <conditionalFormatting sqref="Z65">
    <cfRule type="expression" dxfId="62" priority="57">
      <formula>MOD(ROW(),2)=1</formula>
    </cfRule>
  </conditionalFormatting>
  <conditionalFormatting sqref="Z66">
    <cfRule type="expression" dxfId="61" priority="56">
      <formula>MOD(ROW(),2)=0</formula>
    </cfRule>
  </conditionalFormatting>
  <conditionalFormatting sqref="Z66">
    <cfRule type="expression" dxfId="60" priority="55">
      <formula>MOD(ROW(),2)=1</formula>
    </cfRule>
  </conditionalFormatting>
  <conditionalFormatting sqref="Z66">
    <cfRule type="expression" dxfId="59" priority="54">
      <formula>MOD(ROW(),2)=0</formula>
    </cfRule>
  </conditionalFormatting>
  <conditionalFormatting sqref="Z66">
    <cfRule type="expression" dxfId="58" priority="53">
      <formula>MOD(ROW(),2)=1</formula>
    </cfRule>
  </conditionalFormatting>
  <conditionalFormatting sqref="Z68">
    <cfRule type="expression" dxfId="57" priority="52">
      <formula>MOD(ROW(),2)=0</formula>
    </cfRule>
  </conditionalFormatting>
  <conditionalFormatting sqref="Z68">
    <cfRule type="expression" dxfId="56" priority="51">
      <formula>MOD(ROW(),2)=1</formula>
    </cfRule>
  </conditionalFormatting>
  <conditionalFormatting sqref="Z68">
    <cfRule type="expression" dxfId="55" priority="50">
      <formula>MOD(ROW(),2)=0</formula>
    </cfRule>
  </conditionalFormatting>
  <conditionalFormatting sqref="Z68">
    <cfRule type="expression" dxfId="54" priority="49">
      <formula>MOD(ROW(),2)=1</formula>
    </cfRule>
  </conditionalFormatting>
  <conditionalFormatting sqref="Z69">
    <cfRule type="expression" dxfId="53" priority="48">
      <formula>MOD(ROW(),2)=0</formula>
    </cfRule>
  </conditionalFormatting>
  <conditionalFormatting sqref="Z69">
    <cfRule type="expression" dxfId="52" priority="47">
      <formula>MOD(ROW(),2)=1</formula>
    </cfRule>
  </conditionalFormatting>
  <conditionalFormatting sqref="Z69">
    <cfRule type="expression" dxfId="51" priority="46">
      <formula>MOD(ROW(),2)=0</formula>
    </cfRule>
  </conditionalFormatting>
  <conditionalFormatting sqref="Z69">
    <cfRule type="expression" dxfId="50" priority="45">
      <formula>MOD(ROW(),2)=1</formula>
    </cfRule>
  </conditionalFormatting>
  <conditionalFormatting sqref="Z70:Z71">
    <cfRule type="expression" dxfId="49" priority="44">
      <formula>MOD(ROW(),2)=0</formula>
    </cfRule>
  </conditionalFormatting>
  <conditionalFormatting sqref="Z70:Z71">
    <cfRule type="expression" dxfId="48" priority="43">
      <formula>MOD(ROW(),2)=1</formula>
    </cfRule>
  </conditionalFormatting>
  <conditionalFormatting sqref="Z73">
    <cfRule type="expression" dxfId="47" priority="42">
      <formula>MOD(ROW(),2)=0</formula>
    </cfRule>
  </conditionalFormatting>
  <conditionalFormatting sqref="Z73">
    <cfRule type="expression" dxfId="46" priority="41">
      <formula>MOD(ROW(),2)=1</formula>
    </cfRule>
  </conditionalFormatting>
  <conditionalFormatting sqref="Z74">
    <cfRule type="expression" dxfId="45" priority="40">
      <formula>MOD(ROW(),2)=0</formula>
    </cfRule>
  </conditionalFormatting>
  <conditionalFormatting sqref="Z74">
    <cfRule type="expression" dxfId="44" priority="39">
      <formula>MOD(ROW(),2)=1</formula>
    </cfRule>
  </conditionalFormatting>
  <conditionalFormatting sqref="Z75">
    <cfRule type="expression" dxfId="43" priority="38">
      <formula>MOD(ROW(),2)=0</formula>
    </cfRule>
  </conditionalFormatting>
  <conditionalFormatting sqref="Z75">
    <cfRule type="expression" dxfId="42" priority="37">
      <formula>MOD(ROW(),2)=1</formula>
    </cfRule>
  </conditionalFormatting>
  <conditionalFormatting sqref="Z76">
    <cfRule type="expression" dxfId="41" priority="36">
      <formula>MOD(ROW(),2)=0</formula>
    </cfRule>
  </conditionalFormatting>
  <conditionalFormatting sqref="Z76">
    <cfRule type="expression" dxfId="40" priority="35">
      <formula>MOD(ROW(),2)=1</formula>
    </cfRule>
  </conditionalFormatting>
  <conditionalFormatting sqref="Z76">
    <cfRule type="expression" dxfId="39" priority="34">
      <formula>MOD(ROW(),2)=0</formula>
    </cfRule>
  </conditionalFormatting>
  <conditionalFormatting sqref="Z76">
    <cfRule type="expression" dxfId="38" priority="33">
      <formula>MOD(ROW(),2)=1</formula>
    </cfRule>
  </conditionalFormatting>
  <conditionalFormatting sqref="Z74">
    <cfRule type="expression" dxfId="37" priority="32">
      <formula>MOD(ROW(),2)=0</formula>
    </cfRule>
  </conditionalFormatting>
  <conditionalFormatting sqref="Z74">
    <cfRule type="expression" dxfId="36" priority="31">
      <formula>MOD(ROW(),2)=1</formula>
    </cfRule>
  </conditionalFormatting>
  <conditionalFormatting sqref="Z76">
    <cfRule type="expression" dxfId="35" priority="30">
      <formula>MOD(ROW(),2)=0</formula>
    </cfRule>
  </conditionalFormatting>
  <conditionalFormatting sqref="Z76">
    <cfRule type="expression" dxfId="34" priority="29">
      <formula>MOD(ROW(),2)=1</formula>
    </cfRule>
  </conditionalFormatting>
  <conditionalFormatting sqref="Z78:Z79">
    <cfRule type="expression" dxfId="33" priority="28">
      <formula>MOD(ROW(),2)=0</formula>
    </cfRule>
  </conditionalFormatting>
  <conditionalFormatting sqref="Z78:Z79">
    <cfRule type="expression" dxfId="32" priority="27">
      <formula>MOD(ROW(),2)=1</formula>
    </cfRule>
  </conditionalFormatting>
  <conditionalFormatting sqref="Z80">
    <cfRule type="expression" dxfId="31" priority="26">
      <formula>MOD(ROW(),2)=0</formula>
    </cfRule>
  </conditionalFormatting>
  <conditionalFormatting sqref="Z80">
    <cfRule type="expression" dxfId="30" priority="25">
      <formula>MOD(ROW(),2)=1</formula>
    </cfRule>
  </conditionalFormatting>
  <conditionalFormatting sqref="Z81">
    <cfRule type="expression" dxfId="29" priority="24">
      <formula>MOD(ROW(),2)=0</formula>
    </cfRule>
  </conditionalFormatting>
  <conditionalFormatting sqref="Z81">
    <cfRule type="expression" dxfId="28" priority="23">
      <formula>MOD(ROW(),2)=1</formula>
    </cfRule>
  </conditionalFormatting>
  <conditionalFormatting sqref="Z81">
    <cfRule type="expression" dxfId="27" priority="22">
      <formula>MOD(ROW(),2)=0</formula>
    </cfRule>
  </conditionalFormatting>
  <conditionalFormatting sqref="Z81">
    <cfRule type="expression" dxfId="26" priority="21">
      <formula>MOD(ROW(),2)=1</formula>
    </cfRule>
  </conditionalFormatting>
  <conditionalFormatting sqref="Z83:Z84">
    <cfRule type="expression" dxfId="25" priority="20">
      <formula>MOD(ROW(),2)=0</formula>
    </cfRule>
  </conditionalFormatting>
  <conditionalFormatting sqref="Z83:Z84">
    <cfRule type="expression" dxfId="24" priority="19">
      <formula>MOD(ROW(),2)=1</formula>
    </cfRule>
  </conditionalFormatting>
  <conditionalFormatting sqref="Z86">
    <cfRule type="expression" dxfId="23" priority="18">
      <formula>MOD(ROW(),2)=0</formula>
    </cfRule>
  </conditionalFormatting>
  <conditionalFormatting sqref="Z86">
    <cfRule type="expression" dxfId="22" priority="17">
      <formula>MOD(ROW(),2)=1</formula>
    </cfRule>
  </conditionalFormatting>
  <conditionalFormatting sqref="Z87">
    <cfRule type="expression" dxfId="21" priority="16">
      <formula>MOD(ROW(),2)=0</formula>
    </cfRule>
  </conditionalFormatting>
  <conditionalFormatting sqref="Z87">
    <cfRule type="expression" dxfId="20" priority="15">
      <formula>MOD(ROW(),2)=1</formula>
    </cfRule>
  </conditionalFormatting>
  <conditionalFormatting sqref="Z87">
    <cfRule type="expression" dxfId="19" priority="14">
      <formula>MOD(ROW(),2)=0</formula>
    </cfRule>
  </conditionalFormatting>
  <conditionalFormatting sqref="Z87">
    <cfRule type="expression" dxfId="18" priority="13">
      <formula>MOD(ROW(),2)=1</formula>
    </cfRule>
  </conditionalFormatting>
  <conditionalFormatting sqref="Z87">
    <cfRule type="expression" dxfId="17" priority="12">
      <formula>MOD(ROW(),2)=0</formula>
    </cfRule>
  </conditionalFormatting>
  <conditionalFormatting sqref="Z87">
    <cfRule type="expression" dxfId="16" priority="11">
      <formula>MOD(ROW(),2)=1</formula>
    </cfRule>
  </conditionalFormatting>
  <conditionalFormatting sqref="Z89:Z90">
    <cfRule type="expression" dxfId="15" priority="10">
      <formula>MOD(ROW(),2)=0</formula>
    </cfRule>
  </conditionalFormatting>
  <conditionalFormatting sqref="Z89:Z90">
    <cfRule type="expression" dxfId="14" priority="9">
      <formula>MOD(ROW(),2)=1</formula>
    </cfRule>
  </conditionalFormatting>
  <conditionalFormatting sqref="Z91">
    <cfRule type="expression" dxfId="13" priority="8">
      <formula>MOD(ROW(),2)=0</formula>
    </cfRule>
  </conditionalFormatting>
  <conditionalFormatting sqref="Z91">
    <cfRule type="expression" dxfId="12" priority="7">
      <formula>MOD(ROW(),2)=1</formula>
    </cfRule>
  </conditionalFormatting>
  <conditionalFormatting sqref="Z92">
    <cfRule type="expression" dxfId="11" priority="6">
      <formula>MOD(ROW(),2)=0</formula>
    </cfRule>
  </conditionalFormatting>
  <conditionalFormatting sqref="Z92">
    <cfRule type="expression" dxfId="10" priority="5">
      <formula>MOD(ROW(),2)=1</formula>
    </cfRule>
  </conditionalFormatting>
  <conditionalFormatting sqref="Z92">
    <cfRule type="expression" dxfId="9" priority="4">
      <formula>MOD(ROW(),2)=0</formula>
    </cfRule>
  </conditionalFormatting>
  <conditionalFormatting sqref="Z92">
    <cfRule type="expression" dxfId="8" priority="3">
      <formula>MOD(ROW(),2)=1</formula>
    </cfRule>
  </conditionalFormatting>
  <conditionalFormatting sqref="Z92">
    <cfRule type="expression" dxfId="7" priority="2">
      <formula>MOD(ROW(),2)=0</formula>
    </cfRule>
  </conditionalFormatting>
  <conditionalFormatting sqref="Z92">
    <cfRule type="expression" dxfId="6" priority="1">
      <formula>MOD(ROW(),2)=1</formula>
    </cfRule>
  </conditionalFormatting>
  <conditionalFormatting sqref="AM10:AM93 AB10:AC93 R10:R93 W10:W93 G10:H93 B10:B93 E10:E93 O10:P93 AJ10:AK93 Z10:Z93 J10:J93 L10:L93 AE10:AE93 AG10:AG93">
    <cfRule type="expression" dxfId="5" priority="1381">
      <formula>MOD(ROW(),2)=0</formula>
    </cfRule>
    <cfRule type="expression" dxfId="4" priority="1382">
      <formula>MOD(ROW(),2)=1</formula>
    </cfRule>
  </conditionalFormatting>
  <conditionalFormatting sqref="C10:D93 F10:F93 I10:I93 K10:K93 M10:N93 X10:Y93 AA10:AA93 AD10:AD93 AF10:AF93 AH10:AI93 T10:U93 Q10:Q93">
    <cfRule type="expression" dxfId="3" priority="1379">
      <formula>MOD(ROW(),2)=0</formula>
    </cfRule>
    <cfRule type="expression" dxfId="2" priority="1380">
      <formula>MOD(ROW(),2)=1</formula>
    </cfRule>
  </conditionalFormatting>
  <pageMargins left="0.7" right="0.7" top="0.75" bottom="0.75" header="0.3" footer="0.3"/>
  <pageSetup paperSize="9" scale="49" fitToWidth="2" fitToHeight="0" orientation="landscape" r:id="rId1"/>
  <headerFooter alignWithMargins="0"/>
  <drawing r:id="rId2"/>
  <legacyDrawing r:id="rId3"/>
  <controls>
    <mc:AlternateContent xmlns:mc="http://schemas.openxmlformats.org/markup-compatibility/2006">
      <mc:Choice Requires="x14">
        <control shapeId="4097" r:id="rId4" name="CommandButton_ViewSettings">
          <controlPr autoLine="0" r:id="rId5">
            <anchor moveWithCells="1">
              <from>
                <xdr:col>0</xdr:col>
                <xdr:colOff>495300</xdr:colOff>
                <xdr:row>6</xdr:row>
                <xdr:rowOff>38100</xdr:rowOff>
              </from>
              <to>
                <xdr:col>0</xdr:col>
                <xdr:colOff>1314450</xdr:colOff>
                <xdr:row>7</xdr:row>
                <xdr:rowOff>161925</xdr:rowOff>
              </to>
            </anchor>
          </controlPr>
        </control>
      </mc:Choice>
      <mc:Fallback>
        <control shapeId="4097" r:id="rId4" name="CommandButton_ViewSetting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NotesSheet"/>
  <dimension ref="A1:P117"/>
  <sheetViews>
    <sheetView showGridLines="0" showRowColHeaders="0" topLeftCell="A7" workbookViewId="0">
      <selection activeCell="C20" sqref="C20"/>
    </sheetView>
  </sheetViews>
  <sheetFormatPr defaultColWidth="9.140625" defaultRowHeight="12.75"/>
  <cols>
    <col min="1" max="1" width="33.85546875" customWidth="1"/>
    <col min="2" max="2" width="3.5703125" customWidth="1"/>
    <col min="3" max="3" width="133" style="42" bestFit="1" customWidth="1"/>
    <col min="4" max="16384" width="9.140625" style="42"/>
  </cols>
  <sheetData>
    <row r="1" spans="1:16" s="59" customFormat="1" ht="26.25" customHeight="1">
      <c r="A1" s="239" t="s">
        <v>1272</v>
      </c>
      <c r="B1" s="58"/>
      <c r="C1" s="58"/>
      <c r="D1" s="58"/>
      <c r="E1" s="58"/>
      <c r="F1" s="58"/>
      <c r="G1" s="58"/>
      <c r="H1" s="58"/>
      <c r="I1" s="58"/>
      <c r="J1" s="58"/>
      <c r="K1" s="58"/>
      <c r="L1" s="58"/>
      <c r="M1" s="58"/>
      <c r="N1" s="58"/>
      <c r="O1" s="58"/>
      <c r="P1" s="58"/>
    </row>
    <row r="2" spans="1:16" ht="14.25" customHeight="1">
      <c r="A2" s="239"/>
      <c r="B2" s="60"/>
      <c r="C2" s="60"/>
      <c r="D2" s="60"/>
      <c r="E2" s="60"/>
      <c r="F2" s="60"/>
      <c r="G2" s="60"/>
      <c r="H2" s="60"/>
      <c r="I2" s="60"/>
      <c r="J2" s="60"/>
      <c r="K2" s="60"/>
      <c r="L2" s="60"/>
      <c r="M2" s="60"/>
      <c r="N2" s="60"/>
      <c r="O2" s="60"/>
      <c r="P2" s="60"/>
    </row>
    <row r="3" spans="1:16" ht="14.25" customHeight="1">
      <c r="A3" s="31" t="str">
        <f>'Connector A'!A3</f>
        <v>Date: 26 September 2018</v>
      </c>
      <c r="B3" s="60"/>
      <c r="C3" s="60"/>
      <c r="D3" s="60"/>
      <c r="E3" s="60"/>
      <c r="F3" s="60"/>
      <c r="G3" s="60"/>
      <c r="H3" s="60"/>
      <c r="I3" s="60"/>
      <c r="J3" s="60"/>
      <c r="K3" s="60"/>
      <c r="L3" s="60"/>
      <c r="M3" s="60"/>
      <c r="N3" s="60"/>
      <c r="O3" s="60"/>
      <c r="P3" s="60"/>
    </row>
    <row r="4" spans="1:16" ht="14.25" customHeight="1">
      <c r="A4" s="31"/>
      <c r="B4" s="61" t="s">
        <v>1262</v>
      </c>
      <c r="C4" s="62"/>
      <c r="D4" s="60"/>
      <c r="E4" s="60"/>
      <c r="F4" s="60"/>
      <c r="G4" s="60"/>
      <c r="H4" s="60"/>
      <c r="I4" s="60"/>
      <c r="J4" s="60"/>
      <c r="K4" s="60"/>
      <c r="L4" s="60"/>
      <c r="M4" s="60"/>
      <c r="N4" s="60"/>
      <c r="O4" s="60"/>
      <c r="P4" s="60"/>
    </row>
    <row r="5" spans="1:16" ht="33">
      <c r="A5" s="63"/>
      <c r="B5" s="64" t="s">
        <v>1263</v>
      </c>
      <c r="C5" s="65" t="s">
        <v>2034</v>
      </c>
      <c r="D5" s="60"/>
      <c r="E5" s="60"/>
      <c r="F5" s="60"/>
      <c r="G5" s="60"/>
      <c r="H5" s="60"/>
      <c r="I5" s="60"/>
      <c r="J5" s="60"/>
      <c r="K5" s="60"/>
      <c r="L5" s="60"/>
      <c r="M5" s="60"/>
      <c r="N5" s="60"/>
      <c r="O5" s="60"/>
      <c r="P5" s="60"/>
    </row>
    <row r="6" spans="1:16" ht="33">
      <c r="A6" s="240"/>
      <c r="B6" s="64" t="s">
        <v>1264</v>
      </c>
      <c r="C6" s="65" t="s">
        <v>2580</v>
      </c>
      <c r="D6" s="60"/>
      <c r="E6" s="60"/>
      <c r="F6" s="60"/>
      <c r="G6" s="60"/>
      <c r="H6" s="60"/>
      <c r="I6" s="60"/>
      <c r="J6" s="60"/>
      <c r="K6" s="60"/>
      <c r="L6" s="60"/>
      <c r="M6" s="60"/>
      <c r="N6" s="60"/>
      <c r="O6" s="60"/>
      <c r="P6" s="60"/>
    </row>
    <row r="7" spans="1:16" ht="33">
      <c r="A7" s="240"/>
      <c r="B7" s="64" t="s">
        <v>1265</v>
      </c>
      <c r="C7" s="65" t="s">
        <v>2581</v>
      </c>
      <c r="D7" s="60"/>
      <c r="E7" s="60"/>
      <c r="F7" s="60"/>
      <c r="G7" s="60"/>
      <c r="H7" s="60"/>
      <c r="I7" s="60"/>
      <c r="J7" s="60"/>
      <c r="K7" s="60"/>
      <c r="L7" s="60"/>
      <c r="M7" s="60"/>
      <c r="N7" s="60"/>
      <c r="O7" s="60"/>
      <c r="P7" s="60"/>
    </row>
    <row r="8" spans="1:16" ht="33">
      <c r="A8" s="240"/>
      <c r="B8" s="64" t="s">
        <v>1266</v>
      </c>
      <c r="C8" s="65" t="s">
        <v>2582</v>
      </c>
      <c r="D8" s="60"/>
      <c r="E8" s="60"/>
      <c r="F8" s="60"/>
      <c r="G8" s="60"/>
      <c r="H8" s="60"/>
      <c r="I8" s="60"/>
      <c r="J8" s="60"/>
      <c r="K8" s="60"/>
      <c r="L8" s="60"/>
      <c r="M8" s="60"/>
      <c r="N8" s="60"/>
      <c r="O8" s="60"/>
      <c r="P8" s="60"/>
    </row>
    <row r="9" spans="1:16" ht="66">
      <c r="A9" s="66"/>
      <c r="B9" s="64" t="s">
        <v>1267</v>
      </c>
      <c r="C9" s="65" t="s">
        <v>2035</v>
      </c>
      <c r="D9" s="60"/>
      <c r="E9" s="60"/>
      <c r="F9" s="60"/>
      <c r="G9" s="60"/>
      <c r="H9" s="60"/>
      <c r="I9" s="60"/>
      <c r="J9" s="60"/>
      <c r="K9" s="60"/>
      <c r="L9" s="60"/>
      <c r="M9" s="60"/>
      <c r="N9" s="60"/>
      <c r="O9" s="60"/>
      <c r="P9" s="60"/>
    </row>
    <row r="10" spans="1:16" ht="49.5">
      <c r="A10" s="67"/>
      <c r="B10" s="64" t="s">
        <v>1268</v>
      </c>
      <c r="C10" s="65" t="s">
        <v>2036</v>
      </c>
      <c r="D10" s="60"/>
      <c r="E10" s="60"/>
      <c r="F10" s="60"/>
      <c r="G10" s="60"/>
      <c r="H10" s="60"/>
      <c r="I10" s="60"/>
      <c r="J10" s="60"/>
      <c r="K10" s="60"/>
      <c r="L10" s="60"/>
      <c r="M10" s="60"/>
      <c r="N10" s="60"/>
      <c r="O10" s="60"/>
      <c r="P10" s="60"/>
    </row>
    <row r="11" spans="1:16" ht="33">
      <c r="A11" s="66"/>
      <c r="B11" s="64" t="s">
        <v>1269</v>
      </c>
      <c r="C11" s="65" t="s">
        <v>2037</v>
      </c>
      <c r="D11" s="60"/>
      <c r="E11" s="60"/>
      <c r="F11" s="60"/>
      <c r="G11" s="60"/>
      <c r="H11" s="60"/>
      <c r="I11" s="60"/>
      <c r="J11" s="60"/>
      <c r="K11" s="60"/>
      <c r="L11" s="60"/>
      <c r="M11" s="60"/>
      <c r="N11" s="60"/>
      <c r="O11" s="60"/>
      <c r="P11" s="60"/>
    </row>
    <row r="12" spans="1:16" ht="33">
      <c r="A12" s="68"/>
      <c r="B12" s="64" t="s">
        <v>1270</v>
      </c>
      <c r="C12" s="65" t="s">
        <v>2038</v>
      </c>
      <c r="D12" s="60"/>
      <c r="E12" s="60"/>
      <c r="F12" s="60"/>
      <c r="G12" s="60"/>
      <c r="H12" s="60"/>
      <c r="I12" s="60"/>
      <c r="J12" s="60"/>
      <c r="K12" s="60"/>
      <c r="L12" s="60"/>
      <c r="M12" s="60"/>
      <c r="N12" s="60"/>
      <c r="O12" s="60"/>
      <c r="P12" s="60"/>
    </row>
    <row r="13" spans="1:16" ht="33">
      <c r="A13" s="68"/>
      <c r="B13" s="64" t="s">
        <v>2040</v>
      </c>
      <c r="C13" s="65" t="s">
        <v>2039</v>
      </c>
      <c r="D13" s="60"/>
      <c r="E13" s="60"/>
      <c r="F13" s="60"/>
      <c r="G13" s="60"/>
      <c r="H13" s="60"/>
      <c r="I13" s="60"/>
      <c r="J13" s="60"/>
      <c r="K13" s="60"/>
      <c r="L13" s="60"/>
      <c r="M13" s="60"/>
      <c r="N13" s="60"/>
      <c r="O13" s="60"/>
      <c r="P13" s="60"/>
    </row>
    <row r="14" spans="1:16" ht="16.5">
      <c r="A14" s="68"/>
      <c r="B14" s="64" t="s">
        <v>2738</v>
      </c>
      <c r="C14" s="65" t="s">
        <v>2772</v>
      </c>
      <c r="D14" s="60"/>
      <c r="E14" s="60"/>
      <c r="F14" s="60"/>
      <c r="G14" s="60"/>
      <c r="H14" s="60"/>
      <c r="I14" s="60"/>
      <c r="J14" s="60"/>
      <c r="K14" s="60"/>
      <c r="L14" s="60"/>
      <c r="M14" s="60"/>
      <c r="N14" s="60"/>
      <c r="O14" s="60"/>
      <c r="P14" s="60"/>
    </row>
    <row r="15" spans="1:16" ht="49.5">
      <c r="A15" s="68"/>
      <c r="B15" s="64" t="s">
        <v>2773</v>
      </c>
      <c r="C15" s="65" t="s">
        <v>2774</v>
      </c>
      <c r="D15" s="60"/>
      <c r="E15" s="60"/>
      <c r="F15" s="60"/>
      <c r="G15" s="60"/>
      <c r="H15" s="60"/>
      <c r="I15" s="60"/>
      <c r="J15" s="60"/>
      <c r="K15" s="60"/>
      <c r="L15" s="60"/>
      <c r="M15" s="60"/>
      <c r="N15" s="60"/>
      <c r="O15" s="60"/>
      <c r="P15" s="60"/>
    </row>
    <row r="16" spans="1:16" ht="49.5">
      <c r="A16" s="68"/>
      <c r="B16" s="64" t="s">
        <v>3090</v>
      </c>
      <c r="C16" s="65" t="s">
        <v>3092</v>
      </c>
      <c r="D16" s="60"/>
      <c r="E16" s="60"/>
      <c r="F16" s="60"/>
      <c r="G16" s="60"/>
      <c r="H16" s="60"/>
      <c r="I16" s="60"/>
      <c r="J16" s="60"/>
      <c r="K16" s="60"/>
      <c r="L16" s="60"/>
      <c r="M16" s="60"/>
      <c r="N16" s="60"/>
      <c r="O16" s="60"/>
      <c r="P16" s="60"/>
    </row>
    <row r="17" spans="1:16" ht="33">
      <c r="A17" s="68"/>
      <c r="B17" s="64" t="s">
        <v>3164</v>
      </c>
      <c r="C17" s="65" t="s">
        <v>3135</v>
      </c>
      <c r="D17" s="60"/>
      <c r="E17" s="60"/>
      <c r="F17" s="60"/>
      <c r="G17" s="60"/>
      <c r="H17" s="60"/>
      <c r="I17" s="60"/>
      <c r="J17" s="60"/>
      <c r="K17" s="60"/>
      <c r="L17" s="60"/>
      <c r="M17" s="60"/>
      <c r="N17" s="60"/>
      <c r="O17" s="60"/>
      <c r="P17" s="60"/>
    </row>
    <row r="18" spans="1:16" ht="66">
      <c r="A18" s="68"/>
      <c r="B18" s="64" t="s">
        <v>3165</v>
      </c>
      <c r="C18" s="65" t="s">
        <v>3136</v>
      </c>
      <c r="D18" s="60"/>
      <c r="E18" s="60"/>
      <c r="F18" s="60"/>
      <c r="G18" s="60"/>
      <c r="H18" s="60"/>
      <c r="I18" s="60"/>
      <c r="J18" s="60"/>
      <c r="K18" s="60"/>
      <c r="L18" s="60"/>
      <c r="M18" s="60"/>
      <c r="N18" s="60"/>
      <c r="O18" s="60"/>
      <c r="P18" s="60"/>
    </row>
    <row r="19" spans="1:16" ht="33">
      <c r="A19" s="68"/>
      <c r="B19" s="64" t="s">
        <v>3142</v>
      </c>
      <c r="C19" s="65" t="s">
        <v>3143</v>
      </c>
      <c r="D19" s="60"/>
      <c r="E19" s="60"/>
      <c r="F19" s="60"/>
      <c r="G19" s="60"/>
      <c r="H19" s="60"/>
      <c r="I19" s="60"/>
      <c r="J19" s="60"/>
      <c r="K19" s="60"/>
      <c r="L19" s="60"/>
      <c r="M19" s="60"/>
      <c r="N19" s="60"/>
      <c r="O19" s="60"/>
      <c r="P19" s="60"/>
    </row>
    <row r="20" spans="1:16" ht="16.5">
      <c r="A20" s="68"/>
      <c r="B20" s="60"/>
      <c r="C20" s="60"/>
      <c r="D20" s="60"/>
      <c r="E20" s="60"/>
      <c r="F20" s="60"/>
      <c r="G20" s="60"/>
      <c r="H20" s="60"/>
      <c r="I20" s="60"/>
      <c r="J20" s="60"/>
      <c r="K20" s="60"/>
      <c r="L20" s="60"/>
      <c r="M20" s="60"/>
      <c r="N20" s="60"/>
      <c r="O20" s="60"/>
      <c r="P20" s="60"/>
    </row>
    <row r="21" spans="1:16" ht="16.5">
      <c r="A21" s="68"/>
      <c r="B21" s="60"/>
      <c r="C21" s="60"/>
      <c r="D21" s="60"/>
      <c r="E21" s="60"/>
      <c r="F21" s="60"/>
      <c r="G21" s="60"/>
      <c r="H21" s="60"/>
      <c r="I21" s="60"/>
      <c r="J21" s="60"/>
      <c r="K21" s="60"/>
      <c r="L21" s="60"/>
      <c r="M21" s="60"/>
      <c r="N21" s="60"/>
      <c r="O21" s="60"/>
      <c r="P21" s="60"/>
    </row>
    <row r="22" spans="1:16" ht="16.5">
      <c r="A22" s="68"/>
      <c r="B22" s="61" t="s">
        <v>516</v>
      </c>
      <c r="C22" s="62"/>
      <c r="D22" s="60"/>
      <c r="E22" s="60"/>
      <c r="F22" s="60"/>
      <c r="G22" s="60"/>
      <c r="H22" s="60"/>
      <c r="I22" s="60"/>
      <c r="J22" s="60"/>
      <c r="K22" s="60"/>
      <c r="L22" s="60"/>
      <c r="M22" s="60"/>
      <c r="N22" s="60"/>
      <c r="O22" s="60"/>
      <c r="P22" s="60"/>
    </row>
    <row r="23" spans="1:16" ht="16.5">
      <c r="A23" s="68"/>
      <c r="B23" s="69" t="s">
        <v>1271</v>
      </c>
      <c r="C23" s="60" t="s">
        <v>517</v>
      </c>
      <c r="D23" s="60"/>
      <c r="E23" s="60"/>
      <c r="F23" s="60"/>
      <c r="G23" s="60"/>
      <c r="H23" s="60"/>
      <c r="I23" s="60"/>
      <c r="J23" s="60"/>
      <c r="K23" s="60"/>
      <c r="L23" s="60"/>
      <c r="M23" s="60"/>
      <c r="N23" s="60"/>
      <c r="O23" s="60"/>
      <c r="P23" s="60"/>
    </row>
    <row r="24" spans="1:16" ht="16.5">
      <c r="A24" s="68"/>
      <c r="B24" s="69" t="s">
        <v>1271</v>
      </c>
      <c r="C24" s="60" t="s">
        <v>518</v>
      </c>
      <c r="D24" s="60"/>
      <c r="E24" s="60"/>
      <c r="F24" s="60"/>
      <c r="G24" s="60"/>
      <c r="H24" s="60"/>
      <c r="I24" s="60"/>
      <c r="J24" s="60"/>
      <c r="K24" s="60"/>
      <c r="L24" s="60"/>
      <c r="M24" s="60"/>
      <c r="N24" s="60"/>
      <c r="O24" s="60"/>
      <c r="P24" s="60"/>
    </row>
    <row r="25" spans="1:16" ht="16.5">
      <c r="A25" s="68"/>
      <c r="B25" s="69" t="s">
        <v>1271</v>
      </c>
      <c r="C25" s="60" t="s">
        <v>519</v>
      </c>
      <c r="D25" s="60"/>
      <c r="E25" s="60"/>
      <c r="F25" s="60"/>
      <c r="G25" s="60"/>
      <c r="H25" s="60"/>
      <c r="I25" s="60"/>
      <c r="J25" s="60"/>
      <c r="K25" s="60"/>
      <c r="L25" s="60"/>
      <c r="M25" s="60"/>
      <c r="N25" s="60"/>
      <c r="O25" s="60"/>
      <c r="P25" s="60"/>
    </row>
    <row r="26" spans="1:16" ht="16.5">
      <c r="A26" s="68"/>
      <c r="B26" s="69" t="s">
        <v>1271</v>
      </c>
      <c r="C26" s="60" t="s">
        <v>520</v>
      </c>
      <c r="D26" s="60"/>
      <c r="E26" s="60"/>
      <c r="F26" s="60"/>
      <c r="G26" s="60"/>
      <c r="H26" s="60"/>
      <c r="I26" s="60"/>
      <c r="J26" s="60"/>
      <c r="K26" s="60"/>
      <c r="L26" s="60"/>
      <c r="M26" s="60"/>
      <c r="N26" s="60"/>
      <c r="O26" s="60"/>
      <c r="P26" s="60"/>
    </row>
    <row r="27" spans="1:16" ht="16.5">
      <c r="A27" s="68"/>
      <c r="B27" s="60"/>
      <c r="C27" s="60"/>
      <c r="D27" s="60"/>
      <c r="E27" s="60"/>
      <c r="F27" s="60"/>
      <c r="G27" s="60"/>
      <c r="H27" s="60"/>
      <c r="I27" s="60"/>
      <c r="J27" s="60"/>
      <c r="K27" s="60"/>
      <c r="L27" s="60"/>
      <c r="M27" s="60"/>
      <c r="N27" s="60"/>
      <c r="O27" s="60"/>
      <c r="P27" s="60"/>
    </row>
    <row r="28" spans="1:16" ht="16.5">
      <c r="A28" s="68"/>
      <c r="B28" s="60"/>
      <c r="C28" s="60"/>
      <c r="D28" s="60"/>
      <c r="E28" s="60"/>
      <c r="F28" s="60"/>
      <c r="G28" s="60"/>
      <c r="H28" s="60"/>
      <c r="I28" s="60"/>
      <c r="J28" s="60"/>
      <c r="K28" s="60"/>
      <c r="L28" s="60"/>
      <c r="M28" s="60"/>
      <c r="N28" s="60"/>
      <c r="O28" s="60"/>
      <c r="P28" s="60"/>
    </row>
    <row r="29" spans="1:16" ht="16.5">
      <c r="A29" s="68"/>
      <c r="B29" s="60"/>
      <c r="C29" s="60"/>
      <c r="D29" s="60"/>
      <c r="E29" s="60"/>
      <c r="F29" s="60"/>
      <c r="G29" s="60"/>
      <c r="H29" s="60"/>
      <c r="I29" s="60"/>
      <c r="J29" s="60"/>
      <c r="K29" s="60"/>
      <c r="L29" s="60"/>
      <c r="M29" s="60"/>
      <c r="N29" s="60"/>
      <c r="O29" s="60"/>
      <c r="P29" s="60"/>
    </row>
    <row r="30" spans="1:16" ht="16.5">
      <c r="A30" s="68"/>
      <c r="B30" s="60"/>
      <c r="C30" s="60"/>
      <c r="D30" s="60"/>
      <c r="E30" s="60"/>
      <c r="F30" s="60"/>
      <c r="G30" s="60"/>
      <c r="H30" s="60"/>
      <c r="I30" s="60"/>
      <c r="J30" s="60"/>
      <c r="K30" s="60"/>
      <c r="L30" s="60"/>
      <c r="M30" s="60"/>
      <c r="N30" s="60"/>
      <c r="O30" s="60"/>
      <c r="P30" s="60"/>
    </row>
    <row r="31" spans="1:16" ht="16.5">
      <c r="A31" s="68"/>
      <c r="B31" s="60"/>
      <c r="C31" s="60"/>
      <c r="D31" s="60"/>
      <c r="E31" s="60"/>
      <c r="F31" s="60"/>
      <c r="G31" s="60"/>
      <c r="H31" s="60"/>
      <c r="I31" s="60"/>
      <c r="J31" s="60"/>
      <c r="K31" s="60"/>
      <c r="L31" s="60"/>
      <c r="M31" s="60"/>
      <c r="N31" s="60"/>
      <c r="O31" s="60"/>
      <c r="P31" s="60"/>
    </row>
    <row r="32" spans="1:16" ht="16.5">
      <c r="A32" s="68"/>
      <c r="B32" s="60"/>
      <c r="C32" s="60"/>
      <c r="D32" s="60"/>
      <c r="E32" s="60"/>
      <c r="F32" s="60"/>
      <c r="G32" s="60"/>
      <c r="H32" s="60"/>
      <c r="I32" s="60"/>
      <c r="J32" s="60"/>
      <c r="K32" s="60"/>
      <c r="L32" s="60"/>
      <c r="M32" s="60"/>
      <c r="N32" s="60"/>
      <c r="O32" s="60"/>
      <c r="P32" s="60"/>
    </row>
    <row r="33" spans="1:16" ht="16.5">
      <c r="A33" s="68"/>
      <c r="B33" s="60"/>
      <c r="C33" s="60"/>
      <c r="D33" s="60"/>
      <c r="E33" s="60"/>
      <c r="F33" s="60"/>
      <c r="G33" s="60"/>
      <c r="H33" s="60"/>
      <c r="I33" s="60"/>
      <c r="J33" s="60"/>
      <c r="K33" s="60"/>
      <c r="L33" s="60"/>
      <c r="M33" s="60"/>
      <c r="N33" s="60"/>
      <c r="O33" s="60"/>
      <c r="P33" s="60"/>
    </row>
    <row r="34" spans="1:16" ht="16.5">
      <c r="A34" s="68"/>
      <c r="B34" s="60"/>
      <c r="C34" s="60"/>
      <c r="D34" s="60"/>
      <c r="E34" s="60"/>
      <c r="F34" s="60"/>
      <c r="G34" s="60"/>
      <c r="H34" s="60"/>
      <c r="I34" s="60"/>
      <c r="J34" s="60"/>
      <c r="K34" s="60"/>
      <c r="L34" s="60"/>
      <c r="M34" s="60"/>
      <c r="N34" s="60"/>
      <c r="O34" s="60"/>
      <c r="P34" s="60"/>
    </row>
    <row r="35" spans="1:16" ht="16.5">
      <c r="A35" s="68"/>
      <c r="B35" s="60"/>
      <c r="C35" s="60"/>
      <c r="D35" s="60"/>
      <c r="E35" s="60"/>
      <c r="F35" s="60"/>
      <c r="G35" s="60"/>
      <c r="H35" s="60"/>
      <c r="I35" s="60"/>
      <c r="J35" s="60"/>
      <c r="K35" s="60"/>
      <c r="L35" s="60"/>
      <c r="M35" s="60"/>
      <c r="N35" s="60"/>
      <c r="O35" s="60"/>
      <c r="P35" s="60"/>
    </row>
    <row r="36" spans="1:16" ht="16.5">
      <c r="A36" s="68"/>
      <c r="B36" s="60"/>
      <c r="C36" s="60"/>
      <c r="D36" s="60"/>
      <c r="E36" s="60"/>
      <c r="F36" s="60"/>
      <c r="G36" s="60"/>
      <c r="H36" s="60"/>
      <c r="I36" s="60"/>
      <c r="J36" s="60"/>
      <c r="K36" s="60"/>
      <c r="L36" s="60"/>
      <c r="M36" s="60"/>
      <c r="N36" s="60"/>
      <c r="O36" s="60"/>
      <c r="P36" s="60"/>
    </row>
    <row r="37" spans="1:16" ht="16.5">
      <c r="A37" s="68"/>
      <c r="B37" s="60"/>
      <c r="C37" s="60"/>
      <c r="D37" s="60"/>
      <c r="E37" s="60"/>
      <c r="F37" s="60"/>
      <c r="G37" s="60"/>
      <c r="H37" s="60"/>
      <c r="I37" s="60"/>
      <c r="J37" s="60"/>
      <c r="K37" s="60"/>
      <c r="L37" s="60"/>
      <c r="M37" s="60"/>
      <c r="N37" s="60"/>
      <c r="O37" s="60"/>
      <c r="P37" s="60"/>
    </row>
    <row r="38" spans="1:16" ht="16.5">
      <c r="A38" s="68"/>
      <c r="B38" s="60"/>
      <c r="C38" s="60"/>
      <c r="D38" s="60"/>
      <c r="E38" s="60"/>
      <c r="F38" s="60"/>
      <c r="G38" s="60"/>
      <c r="H38" s="60"/>
      <c r="I38" s="60"/>
      <c r="J38" s="60"/>
      <c r="K38" s="60"/>
      <c r="L38" s="60"/>
      <c r="M38" s="60"/>
      <c r="N38" s="60"/>
      <c r="O38" s="60"/>
      <c r="P38" s="60"/>
    </row>
    <row r="39" spans="1:16" ht="16.5">
      <c r="A39" s="68"/>
      <c r="B39" s="60"/>
      <c r="C39" s="60"/>
      <c r="D39" s="60"/>
      <c r="E39" s="60"/>
      <c r="F39" s="60"/>
      <c r="G39" s="60"/>
      <c r="H39" s="60"/>
      <c r="I39" s="60"/>
      <c r="J39" s="60"/>
      <c r="K39" s="60"/>
      <c r="L39" s="60"/>
      <c r="M39" s="60"/>
      <c r="N39" s="60"/>
      <c r="O39" s="60"/>
      <c r="P39" s="60"/>
    </row>
    <row r="40" spans="1:16" ht="16.5">
      <c r="A40" s="68"/>
      <c r="B40" s="60"/>
      <c r="C40" s="60"/>
      <c r="D40" s="60"/>
      <c r="E40" s="60"/>
      <c r="F40" s="60"/>
      <c r="G40" s="60"/>
      <c r="H40" s="60"/>
      <c r="I40" s="60"/>
      <c r="J40" s="60"/>
      <c r="K40" s="60"/>
      <c r="L40" s="60"/>
      <c r="M40" s="60"/>
      <c r="N40" s="60"/>
      <c r="O40" s="60"/>
      <c r="P40" s="60"/>
    </row>
    <row r="41" spans="1:16" ht="16.5">
      <c r="A41" s="68"/>
      <c r="B41" s="60"/>
      <c r="C41" s="60"/>
      <c r="D41" s="60"/>
      <c r="E41" s="60"/>
      <c r="F41" s="60"/>
      <c r="G41" s="60"/>
      <c r="H41" s="60"/>
      <c r="I41" s="60"/>
      <c r="J41" s="60"/>
      <c r="K41" s="60"/>
      <c r="L41" s="60"/>
      <c r="M41" s="60"/>
      <c r="N41" s="60"/>
      <c r="O41" s="60"/>
      <c r="P41" s="60"/>
    </row>
    <row r="42" spans="1:16" ht="16.5">
      <c r="A42" s="68"/>
      <c r="B42" s="60"/>
      <c r="C42" s="60"/>
      <c r="D42" s="60"/>
      <c r="E42" s="60"/>
      <c r="F42" s="60"/>
      <c r="G42" s="60"/>
      <c r="H42" s="60"/>
      <c r="I42" s="60"/>
      <c r="J42" s="60"/>
      <c r="K42" s="60"/>
      <c r="L42" s="60"/>
      <c r="M42" s="60"/>
      <c r="N42" s="60"/>
      <c r="O42" s="60"/>
      <c r="P42" s="60"/>
    </row>
    <row r="43" spans="1:16" ht="16.5">
      <c r="A43" s="68"/>
      <c r="B43" s="60"/>
      <c r="C43" s="60"/>
      <c r="D43" s="60"/>
      <c r="E43" s="60"/>
      <c r="F43" s="60"/>
      <c r="G43" s="60"/>
      <c r="H43" s="60"/>
      <c r="I43" s="60"/>
      <c r="J43" s="60"/>
      <c r="K43" s="60"/>
      <c r="L43" s="60"/>
      <c r="M43" s="60"/>
      <c r="N43" s="60"/>
      <c r="O43" s="60"/>
      <c r="P43" s="60"/>
    </row>
    <row r="44" spans="1:16" ht="16.5">
      <c r="A44" s="68"/>
      <c r="B44" s="60"/>
      <c r="C44" s="60"/>
      <c r="D44" s="60"/>
      <c r="E44" s="60"/>
      <c r="F44" s="60"/>
      <c r="G44" s="60"/>
      <c r="H44" s="60"/>
      <c r="I44" s="60"/>
      <c r="J44" s="60"/>
      <c r="K44" s="60"/>
      <c r="L44" s="60"/>
      <c r="M44" s="60"/>
      <c r="N44" s="60"/>
      <c r="O44" s="60"/>
      <c r="P44" s="60"/>
    </row>
    <row r="45" spans="1:16" ht="16.5">
      <c r="A45" s="68"/>
      <c r="B45" s="60"/>
      <c r="C45" s="60"/>
      <c r="D45" s="60"/>
      <c r="E45" s="60"/>
      <c r="F45" s="60"/>
      <c r="G45" s="60"/>
      <c r="H45" s="60"/>
      <c r="I45" s="60"/>
      <c r="J45" s="60"/>
      <c r="K45" s="60"/>
      <c r="L45" s="60"/>
      <c r="M45" s="60"/>
      <c r="N45" s="60"/>
      <c r="O45" s="60"/>
      <c r="P45" s="60"/>
    </row>
    <row r="46" spans="1:16" ht="16.5">
      <c r="A46" s="68"/>
      <c r="B46" s="60"/>
      <c r="C46" s="60"/>
      <c r="D46" s="60"/>
      <c r="E46" s="60"/>
      <c r="F46" s="60"/>
      <c r="G46" s="60"/>
      <c r="H46" s="60"/>
      <c r="I46" s="60"/>
      <c r="J46" s="60"/>
      <c r="K46" s="60"/>
      <c r="L46" s="60"/>
      <c r="M46" s="60"/>
      <c r="N46" s="60"/>
      <c r="O46" s="60"/>
      <c r="P46" s="60"/>
    </row>
    <row r="47" spans="1:16" ht="16.5">
      <c r="A47" s="68"/>
      <c r="B47" s="60"/>
      <c r="C47" s="60"/>
      <c r="D47" s="60"/>
      <c r="E47" s="60"/>
      <c r="F47" s="60"/>
      <c r="G47" s="60"/>
      <c r="H47" s="60"/>
      <c r="I47" s="60"/>
      <c r="J47" s="60"/>
      <c r="K47" s="60"/>
      <c r="L47" s="60"/>
      <c r="M47" s="60"/>
      <c r="N47" s="60"/>
      <c r="O47" s="60"/>
      <c r="P47" s="60"/>
    </row>
    <row r="48" spans="1:16" ht="16.5">
      <c r="A48" s="68"/>
      <c r="B48" s="60"/>
      <c r="C48" s="60"/>
      <c r="D48" s="60"/>
      <c r="E48" s="60"/>
      <c r="F48" s="60"/>
      <c r="G48" s="60"/>
      <c r="H48" s="60"/>
      <c r="I48" s="60"/>
      <c r="J48" s="60"/>
      <c r="K48" s="60"/>
      <c r="L48" s="60"/>
      <c r="M48" s="60"/>
      <c r="N48" s="60"/>
      <c r="O48" s="60"/>
      <c r="P48" s="60"/>
    </row>
    <row r="49" spans="1:16" ht="16.5">
      <c r="A49" s="68"/>
      <c r="B49" s="60"/>
      <c r="C49" s="60"/>
      <c r="D49" s="60"/>
      <c r="E49" s="60"/>
      <c r="F49" s="60"/>
      <c r="G49" s="60"/>
      <c r="H49" s="60"/>
      <c r="I49" s="60"/>
      <c r="J49" s="60"/>
      <c r="K49" s="60"/>
      <c r="L49" s="60"/>
      <c r="M49" s="60"/>
      <c r="N49" s="60"/>
      <c r="O49" s="60"/>
      <c r="P49" s="60"/>
    </row>
    <row r="50" spans="1:16" ht="16.5">
      <c r="A50" s="68"/>
      <c r="B50" s="60"/>
      <c r="C50" s="60"/>
      <c r="D50" s="60"/>
      <c r="E50" s="60"/>
      <c r="F50" s="60"/>
      <c r="G50" s="60"/>
      <c r="H50" s="60"/>
      <c r="I50" s="60"/>
      <c r="J50" s="60"/>
      <c r="K50" s="60"/>
      <c r="L50" s="60"/>
      <c r="M50" s="60"/>
      <c r="N50" s="60"/>
      <c r="O50" s="60"/>
      <c r="P50" s="60"/>
    </row>
    <row r="51" spans="1:16" ht="16.5">
      <c r="A51" s="68"/>
      <c r="B51" s="60"/>
      <c r="C51" s="60"/>
      <c r="D51" s="60"/>
      <c r="E51" s="60"/>
      <c r="F51" s="60"/>
      <c r="G51" s="60"/>
      <c r="H51" s="60"/>
      <c r="I51" s="60"/>
      <c r="J51" s="60"/>
      <c r="K51" s="60"/>
      <c r="L51" s="60"/>
      <c r="M51" s="60"/>
      <c r="N51" s="60"/>
      <c r="O51" s="60"/>
      <c r="P51" s="60"/>
    </row>
    <row r="52" spans="1:16" ht="16.5">
      <c r="A52" s="68"/>
      <c r="B52" s="60"/>
      <c r="C52" s="60"/>
      <c r="D52" s="60"/>
      <c r="E52" s="60"/>
      <c r="F52" s="60"/>
      <c r="G52" s="60"/>
      <c r="H52" s="60"/>
      <c r="I52" s="60"/>
      <c r="J52" s="60"/>
      <c r="K52" s="60"/>
      <c r="L52" s="60"/>
      <c r="M52" s="60"/>
      <c r="N52" s="60"/>
      <c r="O52" s="60"/>
      <c r="P52" s="60"/>
    </row>
    <row r="53" spans="1:16" ht="16.5">
      <c r="A53" s="68"/>
      <c r="B53" s="60"/>
      <c r="C53" s="60"/>
      <c r="D53" s="60"/>
      <c r="E53" s="60"/>
      <c r="F53" s="60"/>
      <c r="G53" s="60"/>
      <c r="H53" s="60"/>
      <c r="I53" s="60"/>
      <c r="J53" s="60"/>
      <c r="K53" s="60"/>
      <c r="L53" s="60"/>
      <c r="M53" s="60"/>
      <c r="N53" s="60"/>
      <c r="O53" s="60"/>
      <c r="P53" s="60"/>
    </row>
    <row r="54" spans="1:16" ht="16.5">
      <c r="A54" s="68"/>
      <c r="B54" s="60"/>
      <c r="C54" s="60"/>
      <c r="D54" s="60"/>
      <c r="E54" s="60"/>
      <c r="F54" s="60"/>
      <c r="G54" s="60"/>
      <c r="H54" s="60"/>
      <c r="I54" s="60"/>
      <c r="J54" s="60"/>
      <c r="K54" s="60"/>
      <c r="L54" s="60"/>
      <c r="M54" s="60"/>
      <c r="N54" s="60"/>
      <c r="O54" s="60"/>
      <c r="P54" s="60"/>
    </row>
    <row r="55" spans="1:16" ht="16.5">
      <c r="A55" s="68"/>
      <c r="B55" s="60"/>
      <c r="C55" s="60"/>
      <c r="D55" s="60"/>
      <c r="E55" s="60"/>
      <c r="F55" s="60"/>
      <c r="G55" s="60"/>
      <c r="H55" s="60"/>
      <c r="I55" s="60"/>
      <c r="J55" s="60"/>
      <c r="K55" s="60"/>
      <c r="L55" s="60"/>
      <c r="M55" s="60"/>
      <c r="N55" s="60"/>
      <c r="O55" s="60"/>
      <c r="P55" s="60"/>
    </row>
    <row r="56" spans="1:16" ht="16.5">
      <c r="A56" s="68"/>
      <c r="B56" s="60"/>
      <c r="C56" s="60"/>
      <c r="D56" s="60"/>
      <c r="E56" s="60"/>
      <c r="F56" s="60"/>
      <c r="G56" s="60"/>
      <c r="H56" s="60"/>
      <c r="I56" s="60"/>
      <c r="J56" s="60"/>
      <c r="K56" s="60"/>
      <c r="L56" s="60"/>
      <c r="M56" s="60"/>
      <c r="N56" s="60"/>
      <c r="O56" s="60"/>
      <c r="P56" s="60"/>
    </row>
    <row r="57" spans="1:16" ht="16.5">
      <c r="A57" s="68"/>
      <c r="B57" s="60"/>
      <c r="C57" s="60"/>
      <c r="D57" s="60"/>
      <c r="E57" s="60"/>
      <c r="F57" s="60"/>
      <c r="G57" s="60"/>
      <c r="H57" s="60"/>
      <c r="I57" s="60"/>
      <c r="J57" s="60"/>
      <c r="K57" s="60"/>
      <c r="L57" s="60"/>
      <c r="M57" s="60"/>
      <c r="N57" s="60"/>
      <c r="O57" s="60"/>
      <c r="P57" s="60"/>
    </row>
    <row r="58" spans="1:16" ht="16.5">
      <c r="A58" s="68"/>
      <c r="B58" s="60"/>
      <c r="C58" s="60"/>
      <c r="D58" s="60"/>
      <c r="E58" s="60"/>
      <c r="F58" s="60"/>
      <c r="G58" s="60"/>
      <c r="H58" s="60"/>
      <c r="I58" s="60"/>
      <c r="J58" s="60"/>
      <c r="K58" s="60"/>
      <c r="L58" s="60"/>
      <c r="M58" s="60"/>
      <c r="N58" s="60"/>
      <c r="O58" s="60"/>
      <c r="P58" s="60"/>
    </row>
    <row r="59" spans="1:16" ht="16.5">
      <c r="A59" s="68"/>
      <c r="B59" s="60"/>
      <c r="C59" s="60"/>
      <c r="D59" s="60"/>
      <c r="E59" s="60"/>
      <c r="F59" s="60"/>
      <c r="G59" s="60"/>
      <c r="H59" s="60"/>
      <c r="I59" s="60"/>
      <c r="J59" s="60"/>
      <c r="K59" s="60"/>
      <c r="L59" s="60"/>
      <c r="M59" s="60"/>
      <c r="N59" s="60"/>
      <c r="O59" s="60"/>
      <c r="P59" s="60"/>
    </row>
    <row r="60" spans="1:16" ht="16.5">
      <c r="A60" s="68"/>
      <c r="B60" s="60"/>
      <c r="C60" s="60"/>
      <c r="D60" s="60"/>
      <c r="E60" s="60"/>
      <c r="F60" s="60"/>
      <c r="G60" s="60"/>
      <c r="H60" s="60"/>
      <c r="I60" s="60"/>
      <c r="J60" s="60"/>
      <c r="K60" s="60"/>
      <c r="L60" s="60"/>
      <c r="M60" s="60"/>
      <c r="N60" s="60"/>
      <c r="O60" s="60"/>
      <c r="P60" s="60"/>
    </row>
    <row r="61" spans="1:16" ht="16.5">
      <c r="A61" s="68"/>
      <c r="B61" s="60"/>
      <c r="C61" s="60"/>
      <c r="D61" s="60"/>
      <c r="E61" s="60"/>
      <c r="F61" s="60"/>
      <c r="G61" s="60"/>
      <c r="H61" s="60"/>
      <c r="I61" s="60"/>
      <c r="J61" s="60"/>
      <c r="K61" s="60"/>
      <c r="L61" s="60"/>
      <c r="M61" s="60"/>
      <c r="N61" s="60"/>
      <c r="O61" s="60"/>
      <c r="P61" s="60"/>
    </row>
    <row r="62" spans="1:16" ht="16.5">
      <c r="A62" s="68"/>
      <c r="B62" s="60"/>
      <c r="C62" s="60"/>
      <c r="D62" s="60"/>
      <c r="E62" s="60"/>
      <c r="F62" s="60"/>
      <c r="G62" s="60"/>
      <c r="H62" s="60"/>
      <c r="I62" s="60"/>
      <c r="J62" s="60"/>
      <c r="K62" s="60"/>
      <c r="L62" s="60"/>
      <c r="M62" s="60"/>
      <c r="N62" s="60"/>
      <c r="O62" s="60"/>
      <c r="P62" s="60"/>
    </row>
    <row r="63" spans="1:16" ht="16.5">
      <c r="A63" s="68"/>
      <c r="B63" s="60"/>
      <c r="C63" s="60"/>
      <c r="D63" s="60"/>
      <c r="E63" s="60"/>
      <c r="F63" s="60"/>
      <c r="G63" s="60"/>
      <c r="H63" s="60"/>
      <c r="I63" s="60"/>
      <c r="J63" s="60"/>
      <c r="K63" s="60"/>
      <c r="L63" s="60"/>
      <c r="M63" s="60"/>
      <c r="N63" s="60"/>
      <c r="O63" s="60"/>
      <c r="P63" s="60"/>
    </row>
    <row r="64" spans="1:16" ht="16.5">
      <c r="A64" s="68"/>
      <c r="B64" s="60"/>
      <c r="C64" s="60"/>
      <c r="D64" s="60"/>
      <c r="E64" s="60"/>
      <c r="F64" s="60"/>
      <c r="G64" s="60"/>
      <c r="H64" s="60"/>
      <c r="I64" s="60"/>
      <c r="J64" s="60"/>
      <c r="K64" s="60"/>
      <c r="L64" s="60"/>
      <c r="M64" s="60"/>
      <c r="N64" s="60"/>
      <c r="O64" s="60"/>
      <c r="P64" s="60"/>
    </row>
    <row r="65" spans="1:16" ht="16.5">
      <c r="A65" s="68"/>
      <c r="B65" s="60"/>
      <c r="C65" s="60"/>
      <c r="D65" s="60"/>
      <c r="E65" s="60"/>
      <c r="F65" s="60"/>
      <c r="G65" s="60"/>
      <c r="H65" s="60"/>
      <c r="I65" s="60"/>
      <c r="J65" s="60"/>
      <c r="K65" s="60"/>
      <c r="L65" s="60"/>
      <c r="M65" s="60"/>
      <c r="N65" s="60"/>
      <c r="O65" s="60"/>
      <c r="P65" s="60"/>
    </row>
    <row r="66" spans="1:16" ht="16.5">
      <c r="A66" s="68"/>
      <c r="B66" s="60"/>
      <c r="C66" s="60"/>
      <c r="D66" s="60"/>
      <c r="E66" s="60"/>
      <c r="F66" s="60"/>
      <c r="G66" s="60"/>
      <c r="H66" s="60"/>
      <c r="I66" s="60"/>
      <c r="J66" s="60"/>
      <c r="K66" s="60"/>
      <c r="L66" s="60"/>
      <c r="M66" s="60"/>
      <c r="N66" s="60"/>
      <c r="O66" s="60"/>
      <c r="P66" s="60"/>
    </row>
    <row r="67" spans="1:16" ht="16.5">
      <c r="A67" s="68"/>
      <c r="B67" s="60"/>
      <c r="C67" s="60"/>
      <c r="D67" s="60"/>
      <c r="E67" s="60"/>
      <c r="F67" s="60"/>
      <c r="G67" s="60"/>
      <c r="H67" s="60"/>
      <c r="I67" s="60"/>
      <c r="J67" s="60"/>
      <c r="K67" s="60"/>
      <c r="L67" s="60"/>
      <c r="M67" s="60"/>
      <c r="N67" s="60"/>
      <c r="O67" s="60"/>
      <c r="P67" s="60"/>
    </row>
    <row r="68" spans="1:16" ht="16.5">
      <c r="A68" s="68"/>
      <c r="B68" s="60"/>
      <c r="C68" s="60"/>
      <c r="D68" s="60"/>
      <c r="E68" s="60"/>
      <c r="F68" s="60"/>
      <c r="G68" s="60"/>
      <c r="H68" s="60"/>
      <c r="I68" s="60"/>
      <c r="J68" s="60"/>
      <c r="K68" s="60"/>
      <c r="L68" s="60"/>
      <c r="M68" s="60"/>
      <c r="N68" s="60"/>
      <c r="O68" s="60"/>
      <c r="P68" s="60"/>
    </row>
    <row r="69" spans="1:16" ht="16.5">
      <c r="A69" s="68"/>
      <c r="B69" s="60"/>
      <c r="C69" s="60"/>
      <c r="D69" s="60"/>
      <c r="E69" s="60"/>
      <c r="F69" s="60"/>
      <c r="G69" s="60"/>
      <c r="H69" s="60"/>
      <c r="I69" s="60"/>
      <c r="J69" s="60"/>
      <c r="K69" s="60"/>
      <c r="L69" s="60"/>
      <c r="M69" s="60"/>
      <c r="N69" s="60"/>
      <c r="O69" s="60"/>
      <c r="P69" s="60"/>
    </row>
    <row r="70" spans="1:16" ht="16.5">
      <c r="A70" s="68"/>
      <c r="B70" s="60"/>
      <c r="C70" s="60"/>
      <c r="D70" s="60"/>
      <c r="E70" s="60"/>
      <c r="F70" s="60"/>
      <c r="G70" s="60"/>
      <c r="H70" s="60"/>
      <c r="I70" s="60"/>
      <c r="J70" s="60"/>
      <c r="K70" s="60"/>
      <c r="L70" s="60"/>
      <c r="M70" s="60"/>
      <c r="N70" s="60"/>
      <c r="O70" s="60"/>
      <c r="P70" s="60"/>
    </row>
    <row r="71" spans="1:16" ht="16.5">
      <c r="A71" s="68"/>
      <c r="B71" s="60"/>
      <c r="C71" s="60"/>
      <c r="D71" s="60"/>
      <c r="E71" s="60"/>
      <c r="F71" s="60"/>
      <c r="G71" s="60"/>
      <c r="H71" s="60"/>
      <c r="I71" s="60"/>
      <c r="J71" s="60"/>
      <c r="K71" s="60"/>
      <c r="L71" s="60"/>
      <c r="M71" s="60"/>
      <c r="N71" s="60"/>
      <c r="O71" s="60"/>
      <c r="P71" s="60"/>
    </row>
    <row r="72" spans="1:16" ht="16.5">
      <c r="A72" s="68"/>
      <c r="B72" s="60"/>
      <c r="C72" s="60"/>
      <c r="D72" s="60"/>
      <c r="E72" s="60"/>
      <c r="F72" s="60"/>
      <c r="G72" s="60"/>
      <c r="H72" s="60"/>
      <c r="I72" s="60"/>
      <c r="J72" s="60"/>
      <c r="K72" s="60"/>
      <c r="L72" s="60"/>
      <c r="M72" s="60"/>
      <c r="N72" s="60"/>
      <c r="O72" s="60"/>
      <c r="P72" s="60"/>
    </row>
    <row r="73" spans="1:16" ht="16.5">
      <c r="A73" s="68"/>
      <c r="B73" s="60"/>
      <c r="C73" s="60"/>
      <c r="D73" s="60"/>
      <c r="E73" s="60"/>
      <c r="F73" s="60"/>
      <c r="G73" s="60"/>
      <c r="H73" s="60"/>
      <c r="I73" s="60"/>
      <c r="J73" s="60"/>
      <c r="K73" s="60"/>
      <c r="L73" s="60"/>
      <c r="M73" s="60"/>
      <c r="N73" s="60"/>
      <c r="O73" s="60"/>
      <c r="P73" s="60"/>
    </row>
    <row r="74" spans="1:16" ht="16.5">
      <c r="A74" s="68"/>
      <c r="B74" s="60"/>
      <c r="C74" s="60"/>
      <c r="D74" s="60"/>
      <c r="E74" s="60"/>
      <c r="F74" s="60"/>
      <c r="G74" s="60"/>
      <c r="H74" s="60"/>
      <c r="I74" s="60"/>
      <c r="J74" s="60"/>
      <c r="K74" s="60"/>
      <c r="L74" s="60"/>
      <c r="M74" s="60"/>
      <c r="N74" s="60"/>
      <c r="O74" s="60"/>
      <c r="P74" s="60"/>
    </row>
    <row r="75" spans="1:16" ht="16.5">
      <c r="A75" s="68"/>
      <c r="B75" s="60"/>
      <c r="C75" s="60"/>
      <c r="D75" s="60"/>
      <c r="E75" s="60"/>
      <c r="F75" s="60"/>
      <c r="G75" s="60"/>
      <c r="H75" s="60"/>
      <c r="I75" s="60"/>
      <c r="J75" s="60"/>
      <c r="K75" s="60"/>
      <c r="L75" s="60"/>
      <c r="M75" s="60"/>
      <c r="N75" s="60"/>
      <c r="O75" s="60"/>
      <c r="P75" s="60"/>
    </row>
    <row r="76" spans="1:16" ht="16.5">
      <c r="A76" s="68"/>
      <c r="B76" s="60"/>
      <c r="C76" s="60"/>
      <c r="D76" s="60"/>
      <c r="E76" s="60"/>
      <c r="F76" s="60"/>
      <c r="G76" s="60"/>
      <c r="H76" s="60"/>
      <c r="I76" s="60"/>
      <c r="J76" s="60"/>
      <c r="K76" s="60"/>
      <c r="L76" s="60"/>
      <c r="M76" s="60"/>
      <c r="N76" s="60"/>
      <c r="O76" s="60"/>
      <c r="P76" s="60"/>
    </row>
    <row r="77" spans="1:16" ht="16.5">
      <c r="A77" s="68"/>
      <c r="B77" s="60"/>
      <c r="C77" s="60"/>
      <c r="D77" s="60"/>
      <c r="E77" s="60"/>
      <c r="F77" s="60"/>
      <c r="G77" s="60"/>
      <c r="H77" s="60"/>
      <c r="I77" s="60"/>
      <c r="J77" s="60"/>
      <c r="K77" s="60"/>
      <c r="L77" s="60"/>
      <c r="M77" s="60"/>
      <c r="N77" s="60"/>
      <c r="O77" s="60"/>
      <c r="P77" s="60"/>
    </row>
    <row r="78" spans="1:16" ht="16.5">
      <c r="A78" s="68"/>
      <c r="B78" s="60"/>
      <c r="C78" s="60"/>
      <c r="D78" s="60"/>
      <c r="E78" s="60"/>
      <c r="F78" s="60"/>
      <c r="G78" s="60"/>
      <c r="H78" s="60"/>
      <c r="I78" s="60"/>
      <c r="J78" s="60"/>
      <c r="K78" s="60"/>
      <c r="L78" s="60"/>
      <c r="M78" s="60"/>
      <c r="N78" s="60"/>
      <c r="O78" s="60"/>
      <c r="P78" s="60"/>
    </row>
    <row r="79" spans="1:16" ht="16.5">
      <c r="A79" s="68"/>
      <c r="B79" s="60"/>
      <c r="C79" s="60"/>
      <c r="D79" s="60"/>
      <c r="E79" s="60"/>
      <c r="F79" s="60"/>
      <c r="G79" s="60"/>
      <c r="H79" s="60"/>
      <c r="I79" s="60"/>
      <c r="J79" s="60"/>
      <c r="K79" s="60"/>
      <c r="L79" s="60"/>
      <c r="M79" s="60"/>
      <c r="N79" s="60"/>
      <c r="O79" s="60"/>
      <c r="P79" s="60"/>
    </row>
    <row r="80" spans="1:16" ht="16.5">
      <c r="A80" s="68"/>
      <c r="B80" s="60"/>
      <c r="C80" s="60"/>
      <c r="D80" s="60"/>
      <c r="E80" s="60"/>
      <c r="F80" s="60"/>
      <c r="G80" s="60"/>
      <c r="H80" s="60"/>
      <c r="I80" s="60"/>
      <c r="J80" s="60"/>
      <c r="K80" s="60"/>
      <c r="L80" s="60"/>
      <c r="M80" s="60"/>
      <c r="N80" s="60"/>
      <c r="O80" s="60"/>
      <c r="P80" s="60"/>
    </row>
    <row r="81" spans="1:16" ht="16.5">
      <c r="A81" s="68"/>
      <c r="B81" s="60"/>
      <c r="C81" s="60"/>
      <c r="D81" s="60"/>
      <c r="E81" s="60"/>
      <c r="F81" s="60"/>
      <c r="G81" s="60"/>
      <c r="H81" s="60"/>
      <c r="I81" s="60"/>
      <c r="J81" s="60"/>
      <c r="K81" s="60"/>
      <c r="L81" s="60"/>
      <c r="M81" s="60"/>
      <c r="N81" s="60"/>
      <c r="O81" s="60"/>
      <c r="P81" s="60"/>
    </row>
    <row r="82" spans="1:16" ht="16.5">
      <c r="A82" s="68"/>
      <c r="B82" s="60"/>
      <c r="C82" s="60"/>
      <c r="D82" s="60"/>
      <c r="E82" s="60"/>
      <c r="F82" s="60"/>
      <c r="G82" s="60"/>
      <c r="H82" s="60"/>
      <c r="I82" s="60"/>
      <c r="J82" s="60"/>
      <c r="K82" s="60"/>
      <c r="L82" s="60"/>
      <c r="M82" s="60"/>
      <c r="N82" s="60"/>
      <c r="O82" s="60"/>
      <c r="P82" s="60"/>
    </row>
    <row r="83" spans="1:16" ht="16.5">
      <c r="A83" s="68"/>
      <c r="B83" s="60"/>
      <c r="C83" s="60"/>
      <c r="D83" s="60"/>
      <c r="E83" s="60"/>
      <c r="F83" s="60"/>
      <c r="G83" s="60"/>
      <c r="H83" s="60"/>
      <c r="I83" s="60"/>
      <c r="J83" s="60"/>
      <c r="K83" s="60"/>
      <c r="L83" s="60"/>
      <c r="M83" s="60"/>
      <c r="N83" s="60"/>
      <c r="O83" s="60"/>
      <c r="P83" s="60"/>
    </row>
    <row r="84" spans="1:16" ht="16.5">
      <c r="A84" s="68"/>
      <c r="B84" s="60"/>
      <c r="C84" s="60"/>
      <c r="D84" s="60"/>
      <c r="E84" s="60"/>
      <c r="F84" s="60"/>
      <c r="G84" s="60"/>
      <c r="H84" s="60"/>
      <c r="I84" s="60"/>
      <c r="J84" s="60"/>
      <c r="K84" s="60"/>
      <c r="L84" s="60"/>
      <c r="M84" s="60"/>
      <c r="N84" s="60"/>
      <c r="O84" s="60"/>
      <c r="P84" s="60"/>
    </row>
    <row r="85" spans="1:16" ht="16.5">
      <c r="A85" s="68"/>
      <c r="B85" s="60"/>
      <c r="C85" s="60"/>
      <c r="D85" s="60"/>
      <c r="E85" s="60"/>
      <c r="F85" s="60"/>
      <c r="G85" s="60"/>
      <c r="H85" s="60"/>
      <c r="I85" s="60"/>
      <c r="J85" s="60"/>
      <c r="K85" s="60"/>
      <c r="L85" s="60"/>
      <c r="M85" s="60"/>
      <c r="N85" s="60"/>
      <c r="O85" s="60"/>
      <c r="P85" s="60"/>
    </row>
    <row r="86" spans="1:16" ht="16.5">
      <c r="A86" s="68"/>
      <c r="B86" s="60"/>
      <c r="C86" s="60"/>
      <c r="D86" s="60"/>
      <c r="E86" s="60"/>
      <c r="F86" s="60"/>
      <c r="G86" s="60"/>
      <c r="H86" s="60"/>
      <c r="I86" s="60"/>
      <c r="J86" s="60"/>
      <c r="K86" s="60"/>
      <c r="L86" s="60"/>
      <c r="M86" s="60"/>
      <c r="N86" s="60"/>
      <c r="O86" s="60"/>
      <c r="P86" s="60"/>
    </row>
    <row r="87" spans="1:16" ht="16.5">
      <c r="A87" s="68"/>
      <c r="B87" s="60"/>
      <c r="C87" s="60"/>
      <c r="D87" s="60"/>
      <c r="E87" s="60"/>
      <c r="F87" s="60"/>
      <c r="G87" s="60"/>
      <c r="H87" s="60"/>
      <c r="I87" s="60"/>
      <c r="J87" s="60"/>
      <c r="K87" s="60"/>
      <c r="L87" s="60"/>
      <c r="M87" s="60"/>
      <c r="N87" s="60"/>
      <c r="O87" s="60"/>
      <c r="P87" s="60"/>
    </row>
    <row r="88" spans="1:16" ht="16.5">
      <c r="A88" s="68"/>
      <c r="B88" s="60"/>
      <c r="C88" s="60"/>
      <c r="D88" s="60"/>
      <c r="E88" s="60"/>
      <c r="F88" s="60"/>
      <c r="G88" s="60"/>
      <c r="H88" s="60"/>
      <c r="I88" s="60"/>
      <c r="J88" s="60"/>
      <c r="K88" s="60"/>
      <c r="L88" s="60"/>
      <c r="M88" s="60"/>
      <c r="N88" s="60"/>
      <c r="O88" s="60"/>
      <c r="P88" s="60"/>
    </row>
    <row r="89" spans="1:16" ht="16.5">
      <c r="A89" s="68"/>
      <c r="B89" s="60"/>
      <c r="C89" s="60"/>
      <c r="D89" s="60"/>
      <c r="E89" s="60"/>
      <c r="F89" s="60"/>
      <c r="G89" s="60"/>
      <c r="H89" s="60"/>
      <c r="I89" s="60"/>
      <c r="J89" s="60"/>
      <c r="K89" s="60"/>
      <c r="L89" s="60"/>
      <c r="M89" s="60"/>
      <c r="N89" s="60"/>
      <c r="O89" s="60"/>
      <c r="P89" s="60"/>
    </row>
    <row r="90" spans="1:16" ht="16.5">
      <c r="A90" s="68"/>
      <c r="B90" s="60"/>
      <c r="C90" s="60"/>
      <c r="D90" s="60"/>
      <c r="E90" s="60"/>
      <c r="F90" s="60"/>
      <c r="G90" s="60"/>
      <c r="H90" s="60"/>
      <c r="I90" s="60"/>
      <c r="J90" s="60"/>
      <c r="K90" s="60"/>
      <c r="L90" s="60"/>
      <c r="M90" s="60"/>
      <c r="N90" s="60"/>
      <c r="O90" s="60"/>
      <c r="P90" s="60"/>
    </row>
    <row r="91" spans="1:16" ht="16.5">
      <c r="A91" s="68"/>
      <c r="B91" s="60"/>
      <c r="C91" s="60"/>
      <c r="D91" s="60"/>
      <c r="E91" s="60"/>
      <c r="F91" s="60"/>
      <c r="G91" s="60"/>
      <c r="H91" s="60"/>
      <c r="I91" s="60"/>
      <c r="J91" s="60"/>
      <c r="K91" s="60"/>
      <c r="L91" s="60"/>
      <c r="M91" s="60"/>
      <c r="N91" s="60"/>
      <c r="O91" s="60"/>
      <c r="P91" s="60"/>
    </row>
    <row r="92" spans="1:16" ht="16.5">
      <c r="A92" s="68"/>
      <c r="B92" s="60"/>
      <c r="C92" s="60"/>
      <c r="D92" s="60"/>
      <c r="E92" s="60"/>
      <c r="F92" s="60"/>
      <c r="G92" s="60"/>
      <c r="H92" s="60"/>
      <c r="I92" s="60"/>
      <c r="J92" s="60"/>
      <c r="K92" s="60"/>
      <c r="L92" s="60"/>
      <c r="M92" s="60"/>
      <c r="N92" s="60"/>
      <c r="O92" s="60"/>
      <c r="P92" s="60"/>
    </row>
    <row r="93" spans="1:16" ht="16.5">
      <c r="A93" s="68"/>
      <c r="B93" s="60"/>
      <c r="C93" s="60"/>
      <c r="D93" s="60"/>
      <c r="E93" s="60"/>
      <c r="F93" s="60"/>
      <c r="G93" s="60"/>
      <c r="H93" s="60"/>
      <c r="I93" s="60"/>
      <c r="J93" s="60"/>
      <c r="K93" s="60"/>
      <c r="L93" s="60"/>
      <c r="M93" s="60"/>
      <c r="N93" s="60"/>
      <c r="O93" s="60"/>
      <c r="P93" s="60"/>
    </row>
    <row r="94" spans="1:16" ht="16.5">
      <c r="A94" s="68"/>
      <c r="B94" s="60"/>
      <c r="C94" s="60"/>
      <c r="D94" s="60"/>
      <c r="E94" s="60"/>
      <c r="F94" s="60"/>
      <c r="G94" s="60"/>
      <c r="H94" s="60"/>
      <c r="I94" s="60"/>
      <c r="J94" s="60"/>
      <c r="K94" s="60"/>
      <c r="L94" s="60"/>
      <c r="M94" s="60"/>
      <c r="N94" s="60"/>
      <c r="O94" s="60"/>
      <c r="P94" s="60"/>
    </row>
    <row r="95" spans="1:16" ht="16.5">
      <c r="A95" s="68"/>
      <c r="B95" s="60"/>
      <c r="C95" s="60"/>
      <c r="D95" s="60"/>
      <c r="E95" s="60"/>
      <c r="F95" s="60"/>
      <c r="G95" s="60"/>
      <c r="H95" s="60"/>
      <c r="I95" s="60"/>
      <c r="J95" s="60"/>
      <c r="K95" s="60"/>
      <c r="L95" s="60"/>
      <c r="M95" s="60"/>
      <c r="N95" s="60"/>
      <c r="O95" s="60"/>
      <c r="P95" s="60"/>
    </row>
    <row r="96" spans="1:16" ht="16.5">
      <c r="A96" s="68"/>
      <c r="B96" s="60"/>
      <c r="C96" s="60"/>
      <c r="D96" s="60"/>
      <c r="E96" s="60"/>
      <c r="F96" s="60"/>
      <c r="G96" s="60"/>
      <c r="H96" s="60"/>
      <c r="I96" s="60"/>
      <c r="J96" s="60"/>
      <c r="K96" s="60"/>
      <c r="L96" s="60"/>
      <c r="M96" s="60"/>
      <c r="N96" s="60"/>
      <c r="O96" s="60"/>
      <c r="P96" s="60"/>
    </row>
    <row r="97" spans="1:16" ht="16.5">
      <c r="A97" s="68"/>
      <c r="B97" s="60"/>
      <c r="C97" s="60"/>
      <c r="D97" s="60"/>
      <c r="E97" s="60"/>
      <c r="F97" s="60"/>
      <c r="G97" s="60"/>
      <c r="H97" s="60"/>
      <c r="I97" s="60"/>
      <c r="J97" s="60"/>
      <c r="K97" s="60"/>
      <c r="L97" s="60"/>
      <c r="M97" s="60"/>
      <c r="N97" s="60"/>
      <c r="O97" s="60"/>
      <c r="P97" s="60"/>
    </row>
    <row r="98" spans="1:16" ht="16.5">
      <c r="A98" s="68"/>
      <c r="B98" s="60"/>
      <c r="C98" s="60"/>
      <c r="D98" s="60"/>
      <c r="E98" s="60"/>
      <c r="F98" s="60"/>
      <c r="G98" s="60"/>
      <c r="H98" s="60"/>
      <c r="I98" s="60"/>
      <c r="J98" s="60"/>
      <c r="K98" s="60"/>
      <c r="L98" s="60"/>
      <c r="M98" s="60"/>
      <c r="N98" s="60"/>
      <c r="O98" s="60"/>
      <c r="P98" s="60"/>
    </row>
    <row r="99" spans="1:16" ht="16.5">
      <c r="A99" s="68"/>
      <c r="B99" s="60"/>
      <c r="C99" s="60"/>
      <c r="D99" s="60"/>
      <c r="E99" s="60"/>
      <c r="F99" s="60"/>
      <c r="G99" s="60"/>
      <c r="H99" s="60"/>
      <c r="I99" s="60"/>
      <c r="J99" s="60"/>
      <c r="K99" s="60"/>
      <c r="L99" s="60"/>
      <c r="M99" s="60"/>
      <c r="N99" s="60"/>
      <c r="O99" s="60"/>
      <c r="P99" s="60"/>
    </row>
    <row r="100" spans="1:16" ht="16.5">
      <c r="A100" s="68"/>
      <c r="B100" s="60"/>
      <c r="C100" s="60"/>
      <c r="D100" s="60"/>
      <c r="E100" s="60"/>
      <c r="F100" s="60"/>
      <c r="G100" s="60"/>
      <c r="H100" s="60"/>
      <c r="I100" s="60"/>
      <c r="J100" s="60"/>
      <c r="K100" s="60"/>
      <c r="L100" s="60"/>
      <c r="M100" s="60"/>
      <c r="N100" s="60"/>
      <c r="O100" s="60"/>
      <c r="P100" s="60"/>
    </row>
    <row r="101" spans="1:16" ht="16.5">
      <c r="A101" s="68"/>
      <c r="B101" s="60"/>
      <c r="C101" s="60"/>
      <c r="D101" s="60"/>
      <c r="E101" s="60"/>
      <c r="F101" s="60"/>
      <c r="G101" s="60"/>
      <c r="H101" s="60"/>
      <c r="I101" s="60"/>
      <c r="J101" s="60"/>
      <c r="K101" s="60"/>
      <c r="L101" s="60"/>
      <c r="M101" s="60"/>
      <c r="N101" s="60"/>
      <c r="O101" s="60"/>
      <c r="P101" s="60"/>
    </row>
    <row r="102" spans="1:16" ht="16.5">
      <c r="A102" s="68"/>
      <c r="B102" s="60"/>
      <c r="C102" s="60"/>
      <c r="D102" s="60"/>
      <c r="E102" s="60"/>
      <c r="F102" s="60"/>
      <c r="G102" s="60"/>
      <c r="H102" s="60"/>
      <c r="I102" s="60"/>
      <c r="J102" s="60"/>
      <c r="K102" s="60"/>
      <c r="L102" s="60"/>
      <c r="M102" s="60"/>
      <c r="N102" s="60"/>
      <c r="O102" s="60"/>
      <c r="P102" s="60"/>
    </row>
    <row r="103" spans="1:16" ht="16.5">
      <c r="A103" s="68"/>
      <c r="B103" s="60"/>
      <c r="C103" s="60"/>
      <c r="D103" s="60"/>
      <c r="E103" s="60"/>
      <c r="F103" s="60"/>
      <c r="G103" s="60"/>
      <c r="H103" s="60"/>
      <c r="I103" s="60"/>
      <c r="J103" s="60"/>
      <c r="K103" s="60"/>
      <c r="L103" s="60"/>
      <c r="M103" s="60"/>
      <c r="N103" s="60"/>
      <c r="O103" s="60"/>
      <c r="P103" s="60"/>
    </row>
    <row r="104" spans="1:16" ht="16.5">
      <c r="A104" s="68"/>
      <c r="B104" s="60"/>
      <c r="C104" s="60"/>
      <c r="D104" s="60"/>
      <c r="E104" s="60"/>
      <c r="F104" s="60"/>
      <c r="G104" s="60"/>
      <c r="H104" s="60"/>
      <c r="I104" s="60"/>
      <c r="J104" s="60"/>
      <c r="K104" s="60"/>
      <c r="L104" s="60"/>
      <c r="M104" s="60"/>
      <c r="N104" s="60"/>
      <c r="O104" s="60"/>
      <c r="P104" s="60"/>
    </row>
    <row r="105" spans="1:16" ht="16.5">
      <c r="A105" s="68"/>
      <c r="B105" s="60"/>
      <c r="C105" s="60"/>
      <c r="D105" s="60"/>
      <c r="E105" s="60"/>
      <c r="F105" s="60"/>
      <c r="G105" s="60"/>
      <c r="H105" s="60"/>
      <c r="I105" s="60"/>
      <c r="J105" s="60"/>
      <c r="K105" s="60"/>
      <c r="L105" s="60"/>
      <c r="M105" s="60"/>
      <c r="N105" s="60"/>
      <c r="O105" s="60"/>
      <c r="P105" s="60"/>
    </row>
    <row r="106" spans="1:16" ht="16.5">
      <c r="A106" s="68"/>
      <c r="B106" s="60"/>
      <c r="C106" s="60"/>
      <c r="D106" s="60"/>
      <c r="E106" s="60"/>
      <c r="F106" s="60"/>
      <c r="G106" s="60"/>
      <c r="H106" s="60"/>
      <c r="I106" s="60"/>
      <c r="J106" s="60"/>
      <c r="K106" s="60"/>
      <c r="L106" s="60"/>
      <c r="M106" s="60"/>
      <c r="N106" s="60"/>
      <c r="O106" s="60"/>
      <c r="P106" s="60"/>
    </row>
    <row r="107" spans="1:16" ht="16.5">
      <c r="A107" s="68"/>
      <c r="B107" s="60"/>
      <c r="C107" s="60"/>
      <c r="D107" s="60"/>
      <c r="E107" s="60"/>
      <c r="F107" s="60"/>
      <c r="G107" s="60"/>
      <c r="H107" s="60"/>
      <c r="I107" s="60"/>
      <c r="J107" s="60"/>
      <c r="K107" s="60"/>
      <c r="L107" s="60"/>
      <c r="M107" s="60"/>
      <c r="N107" s="60"/>
      <c r="O107" s="60"/>
      <c r="P107" s="60"/>
    </row>
    <row r="108" spans="1:16" ht="16.5">
      <c r="A108" s="68"/>
      <c r="B108" s="60"/>
      <c r="C108" s="60"/>
      <c r="D108" s="60"/>
      <c r="E108" s="60"/>
      <c r="F108" s="60"/>
      <c r="G108" s="60"/>
      <c r="H108" s="60"/>
      <c r="I108" s="60"/>
      <c r="J108" s="60"/>
      <c r="K108" s="60"/>
      <c r="L108" s="60"/>
      <c r="M108" s="60"/>
      <c r="N108" s="60"/>
      <c r="O108" s="60"/>
      <c r="P108" s="60"/>
    </row>
    <row r="109" spans="1:16" ht="16.5">
      <c r="A109" s="68"/>
      <c r="B109" s="60"/>
      <c r="C109" s="60"/>
      <c r="D109" s="60"/>
      <c r="E109" s="60"/>
      <c r="F109" s="60"/>
      <c r="G109" s="60"/>
      <c r="H109" s="60"/>
      <c r="I109" s="60"/>
      <c r="J109" s="60"/>
      <c r="K109" s="60"/>
      <c r="L109" s="60"/>
      <c r="M109" s="60"/>
      <c r="N109" s="60"/>
      <c r="O109" s="60"/>
      <c r="P109" s="60"/>
    </row>
    <row r="110" spans="1:16" ht="16.5">
      <c r="A110" s="68"/>
      <c r="B110" s="60"/>
      <c r="C110" s="60"/>
      <c r="D110" s="60"/>
      <c r="E110" s="60"/>
      <c r="F110" s="60"/>
      <c r="G110" s="60"/>
      <c r="H110" s="60"/>
      <c r="I110" s="60"/>
      <c r="J110" s="60"/>
      <c r="K110" s="60"/>
      <c r="L110" s="60"/>
      <c r="M110" s="60"/>
      <c r="N110" s="60"/>
      <c r="O110" s="60"/>
      <c r="P110" s="60"/>
    </row>
    <row r="111" spans="1:16" ht="16.5">
      <c r="A111" s="68"/>
      <c r="B111" s="60"/>
      <c r="C111" s="60"/>
      <c r="D111" s="60"/>
      <c r="E111" s="60"/>
      <c r="F111" s="60"/>
      <c r="G111" s="60"/>
      <c r="H111" s="60"/>
      <c r="I111" s="60"/>
      <c r="J111" s="60"/>
      <c r="K111" s="60"/>
      <c r="L111" s="60"/>
      <c r="M111" s="60"/>
      <c r="N111" s="60"/>
      <c r="O111" s="60"/>
      <c r="P111" s="60"/>
    </row>
    <row r="112" spans="1:16" ht="16.5">
      <c r="A112" s="68"/>
      <c r="B112" s="60"/>
      <c r="C112" s="60"/>
      <c r="D112" s="60"/>
      <c r="E112" s="60"/>
      <c r="F112" s="60"/>
      <c r="G112" s="60"/>
      <c r="H112" s="60"/>
      <c r="I112" s="60"/>
      <c r="J112" s="60"/>
      <c r="K112" s="60"/>
      <c r="L112" s="60"/>
      <c r="M112" s="60"/>
      <c r="N112" s="60"/>
      <c r="O112" s="60"/>
      <c r="P112" s="60"/>
    </row>
    <row r="113" spans="1:16" ht="16.5">
      <c r="A113" s="68"/>
      <c r="B113" s="60"/>
      <c r="C113" s="60"/>
      <c r="D113" s="60"/>
      <c r="E113" s="60"/>
      <c r="F113" s="60"/>
      <c r="G113" s="60"/>
      <c r="H113" s="60"/>
      <c r="I113" s="60"/>
      <c r="J113" s="60"/>
      <c r="K113" s="60"/>
      <c r="L113" s="60"/>
      <c r="M113" s="60"/>
      <c r="N113" s="60"/>
      <c r="O113" s="60"/>
      <c r="P113" s="60"/>
    </row>
    <row r="114" spans="1:16" ht="16.5">
      <c r="A114" s="68"/>
      <c r="B114" s="60"/>
      <c r="C114" s="60"/>
      <c r="D114" s="60"/>
      <c r="E114" s="60"/>
      <c r="F114" s="60"/>
      <c r="G114" s="60"/>
      <c r="H114" s="60"/>
      <c r="I114" s="60"/>
      <c r="J114" s="60"/>
      <c r="K114" s="60"/>
      <c r="L114" s="60"/>
      <c r="M114" s="60"/>
      <c r="N114" s="60"/>
      <c r="O114" s="60"/>
      <c r="P114" s="60"/>
    </row>
    <row r="115" spans="1:16" ht="16.5">
      <c r="A115" s="68"/>
      <c r="B115" s="60"/>
      <c r="C115" s="60"/>
      <c r="D115" s="60"/>
      <c r="E115" s="60"/>
      <c r="F115" s="60"/>
      <c r="G115" s="60"/>
      <c r="H115" s="60"/>
      <c r="I115" s="60"/>
      <c r="J115" s="60"/>
      <c r="K115" s="60"/>
      <c r="L115" s="60"/>
      <c r="M115" s="60"/>
      <c r="N115" s="60"/>
      <c r="O115" s="60"/>
      <c r="P115" s="60"/>
    </row>
    <row r="116" spans="1:16" ht="16.5">
      <c r="A116" s="68"/>
      <c r="B116" s="60"/>
      <c r="C116" s="60"/>
      <c r="D116" s="60"/>
      <c r="E116" s="60"/>
      <c r="F116" s="60"/>
      <c r="G116" s="60"/>
      <c r="H116" s="60"/>
      <c r="I116" s="60"/>
      <c r="J116" s="60"/>
      <c r="K116" s="60"/>
      <c r="L116" s="60"/>
      <c r="M116" s="60"/>
      <c r="N116" s="60"/>
      <c r="O116" s="60"/>
      <c r="P116" s="60"/>
    </row>
    <row r="117" spans="1:16" ht="16.5">
      <c r="A117" s="68"/>
      <c r="B117" s="60"/>
      <c r="C117" s="60"/>
      <c r="D117" s="60"/>
      <c r="E117" s="60"/>
      <c r="F117" s="60"/>
      <c r="G117" s="60"/>
      <c r="H117" s="60"/>
      <c r="I117" s="60"/>
      <c r="J117" s="60"/>
      <c r="K117" s="60"/>
      <c r="L117" s="60"/>
      <c r="M117" s="60"/>
      <c r="N117" s="60"/>
      <c r="O117" s="60"/>
      <c r="P117" s="60"/>
    </row>
  </sheetData>
  <sheetProtection algorithmName="SHA-512" hashValue="VMB1TP6DHPgxOSvwehIzphDIqzth2hxVarEttUyouePkjTZKuVxrtWA4JRfpeCmqgU/LLe2Dkt/fScBJkG90Bg==" saltValue="i9TsmNvw7JGeuPaK57QVog==" spinCount="100000" sheet="1" objects="1" scenarios="1"/>
  <mergeCells count="2">
    <mergeCell ref="A1:A2"/>
    <mergeCell ref="A6:A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View Settings</vt:lpstr>
      <vt:lpstr>Connector A</vt:lpstr>
      <vt:lpstr>Connector B</vt:lpstr>
      <vt:lpstr>Connector C</vt:lpstr>
      <vt:lpstr>Notes_Disclaimers</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Heimlicher</dc:creator>
  <cp:lastModifiedBy>Diana Ungureanu</cp:lastModifiedBy>
  <cp:lastPrinted>2017-04-13T14:31:02Z</cp:lastPrinted>
  <dcterms:created xsi:type="dcterms:W3CDTF">2011-07-19T11:37:07Z</dcterms:created>
  <dcterms:modified xsi:type="dcterms:W3CDTF">2018-09-26T14:05:43Z</dcterms:modified>
</cp:coreProperties>
</file>